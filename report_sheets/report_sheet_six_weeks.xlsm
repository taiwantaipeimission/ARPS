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2" activeTab="5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EPORT_SHEET" sheetId="400" r:id="rId6"/>
    <sheet name="REPORT_GRAPH" sheetId="399" r:id="rId7"/>
  </sheets>
  <definedNames>
    <definedName name="_xlnm._FilterDatabase" localSheetId="3" hidden="1">COMP_LIST!$B$1:$M$101</definedName>
    <definedName name="baptism_source_month" localSheetId="2">BAPTISM_SOURCE_BY_COMP_MONTH!$A$1:$H$126</definedName>
    <definedName name="DATE">CONTROLS!$B$1</definedName>
    <definedName name="DAY">CONTROLS!$D$5</definedName>
    <definedName name="MONTH">CONTROLS!$D$2</definedName>
    <definedName name="phone_list_PHONE_LIST" localSheetId="3" hidden="1">COMP_LIST!$A$1:$N$104</definedName>
    <definedName name="_xlnm.Print_Area" localSheetId="6">REPORT_GRAPH!$A$1:$V$50</definedName>
    <definedName name="_xlnm.Print_Area" localSheetId="5">REPORT_SHEET!$A$1:$R$18</definedName>
    <definedName name="report_data" localSheetId="0">REPORT_DATA_BY_COMP!$A$1:$N$1947</definedName>
    <definedName name="report_month" localSheetId="1">REPORT_DATA_BY_COMP_MONTH!$A$1:$N$509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/>
</workbook>
</file>

<file path=xl/calcChain.xml><?xml version="1.0" encoding="utf-8"?>
<calcChain xmlns="http://schemas.openxmlformats.org/spreadsheetml/2006/main">
  <c r="F2" i="400" l="1"/>
  <c r="A4" i="400"/>
  <c r="F1" i="400" l="1"/>
  <c r="A3" i="400"/>
  <c r="F6" i="400"/>
  <c r="F7" i="400"/>
  <c r="B12" i="400"/>
  <c r="C12" i="400" s="1"/>
  <c r="D12" i="400" s="1"/>
  <c r="E12" i="400" s="1"/>
  <c r="B13" i="400"/>
  <c r="C13" i="400" s="1"/>
  <c r="D13" i="400" s="1"/>
  <c r="E13" i="400" s="1"/>
  <c r="B14" i="400"/>
  <c r="C14" i="400" s="1"/>
  <c r="F14" i="400"/>
  <c r="B15" i="400"/>
  <c r="F15" i="400"/>
  <c r="B16" i="400"/>
  <c r="C16" i="400" s="1"/>
  <c r="D16" i="400" s="1"/>
  <c r="E16" i="400" s="1"/>
  <c r="B17" i="400"/>
  <c r="C17" i="400" s="1"/>
  <c r="D17" i="400" s="1"/>
  <c r="E17" i="400" s="1"/>
  <c r="F17" i="400" l="1"/>
  <c r="F13" i="400"/>
  <c r="F12" i="400"/>
  <c r="F16" i="400"/>
  <c r="G16" i="400"/>
  <c r="K16" i="400"/>
  <c r="O16" i="400"/>
  <c r="I16" i="400"/>
  <c r="M16" i="400"/>
  <c r="Q16" i="400"/>
  <c r="J16" i="400"/>
  <c r="N16" i="400"/>
  <c r="R16" i="400"/>
  <c r="H16" i="400"/>
  <c r="L16" i="400"/>
  <c r="P16" i="400"/>
  <c r="J17" i="400"/>
  <c r="N17" i="400"/>
  <c r="R17" i="400"/>
  <c r="G17" i="400"/>
  <c r="K17" i="400"/>
  <c r="O17" i="400"/>
  <c r="H17" i="400"/>
  <c r="L17" i="400"/>
  <c r="P17" i="400"/>
  <c r="I17" i="400"/>
  <c r="M17" i="400"/>
  <c r="Q17" i="400"/>
  <c r="G12" i="400"/>
  <c r="K12" i="400"/>
  <c r="O12" i="400"/>
  <c r="H12" i="400"/>
  <c r="P12" i="400"/>
  <c r="I12" i="400"/>
  <c r="M12" i="400"/>
  <c r="Q12" i="400"/>
  <c r="J12" i="400"/>
  <c r="N12" i="400"/>
  <c r="R12" i="400"/>
  <c r="L12" i="400"/>
  <c r="J13" i="400"/>
  <c r="N13" i="400"/>
  <c r="R13" i="400"/>
  <c r="H13" i="400"/>
  <c r="L13" i="400"/>
  <c r="P13" i="400"/>
  <c r="I13" i="400"/>
  <c r="M13" i="400"/>
  <c r="Q13" i="400"/>
  <c r="G13" i="400"/>
  <c r="K13" i="400"/>
  <c r="O13" i="400"/>
  <c r="C15" i="400"/>
  <c r="D15" i="400" s="1"/>
  <c r="E15" i="400" s="1"/>
  <c r="D14" i="400"/>
  <c r="E14" i="400" s="1"/>
  <c r="X92" i="399"/>
  <c r="X91" i="399"/>
  <c r="X90" i="399"/>
  <c r="H15" i="400" l="1"/>
  <c r="L15" i="400"/>
  <c r="P15" i="400"/>
  <c r="M15" i="400"/>
  <c r="J15" i="400"/>
  <c r="N15" i="400"/>
  <c r="R15" i="400"/>
  <c r="G15" i="400"/>
  <c r="K15" i="400"/>
  <c r="O15" i="400"/>
  <c r="I15" i="400"/>
  <c r="Q15" i="400"/>
  <c r="I14" i="400"/>
  <c r="M14" i="400"/>
  <c r="Q14" i="400"/>
  <c r="G14" i="400"/>
  <c r="K14" i="400"/>
  <c r="O14" i="400"/>
  <c r="H14" i="400"/>
  <c r="L14" i="400"/>
  <c r="P14" i="400"/>
  <c r="J14" i="400"/>
  <c r="N14" i="400"/>
  <c r="R14" i="400"/>
  <c r="D3" i="4"/>
  <c r="G18" i="400" l="1"/>
  <c r="K18" i="400"/>
  <c r="O18" i="400"/>
  <c r="N18" i="400"/>
  <c r="Q18" i="400"/>
  <c r="M18" i="400"/>
  <c r="R18" i="400"/>
  <c r="L18" i="400"/>
  <c r="P18" i="400"/>
  <c r="I18" i="400"/>
  <c r="J18" i="400"/>
  <c r="H18" i="400"/>
  <c r="X108" i="399"/>
  <c r="X107" i="399"/>
  <c r="X109" i="399" l="1"/>
  <c r="X98" i="399"/>
  <c r="AD88" i="399" s="1"/>
  <c r="AZ88" i="399"/>
  <c r="AY88" i="399"/>
  <c r="AX88" i="399"/>
  <c r="AW88" i="399"/>
  <c r="AV88" i="399"/>
  <c r="AZ87" i="399"/>
  <c r="AY87" i="399"/>
  <c r="AX87" i="399"/>
  <c r="AW87" i="399"/>
  <c r="AV87" i="399"/>
  <c r="AZ86" i="399"/>
  <c r="AY86" i="399"/>
  <c r="AX86" i="399"/>
  <c r="AW86" i="399"/>
  <c r="AV86" i="399"/>
  <c r="AZ85" i="399"/>
  <c r="AY85" i="399"/>
  <c r="AX85" i="399"/>
  <c r="AW85" i="399"/>
  <c r="AV85" i="399"/>
  <c r="AZ84" i="399"/>
  <c r="AY84" i="399"/>
  <c r="AX84" i="399"/>
  <c r="AW84" i="399"/>
  <c r="AV84" i="399"/>
  <c r="AZ83" i="399"/>
  <c r="AY83" i="399"/>
  <c r="AX83" i="399"/>
  <c r="AW83" i="399"/>
  <c r="AV83" i="399"/>
  <c r="AZ82" i="399"/>
  <c r="AY82" i="399"/>
  <c r="AX82" i="399"/>
  <c r="AW82" i="399"/>
  <c r="AV82" i="399"/>
  <c r="AZ81" i="399"/>
  <c r="AY81" i="399"/>
  <c r="AX81" i="399"/>
  <c r="AW81" i="399"/>
  <c r="AV81" i="399"/>
  <c r="AZ80" i="399"/>
  <c r="AY80" i="399"/>
  <c r="AX80" i="399"/>
  <c r="AW80" i="399"/>
  <c r="AV80" i="399"/>
  <c r="AZ79" i="399"/>
  <c r="AY79" i="399"/>
  <c r="AX79" i="399"/>
  <c r="AW79" i="399"/>
  <c r="AV79" i="399"/>
  <c r="AZ78" i="399"/>
  <c r="AY78" i="399"/>
  <c r="AX78" i="399"/>
  <c r="AW78" i="399"/>
  <c r="AV78" i="399"/>
  <c r="AZ77" i="399"/>
  <c r="AY77" i="399"/>
  <c r="AX77" i="399"/>
  <c r="AW77" i="399"/>
  <c r="AV77" i="399"/>
  <c r="AD65" i="399" l="1"/>
  <c r="AD83" i="399"/>
  <c r="AD61" i="399"/>
  <c r="AD77" i="399"/>
  <c r="AD53" i="399"/>
  <c r="AD69" i="399"/>
  <c r="AD81" i="399"/>
  <c r="AD57" i="399"/>
  <c r="AD73" i="399"/>
  <c r="AD79" i="399"/>
  <c r="AD85" i="399"/>
  <c r="AD56" i="399"/>
  <c r="AD60" i="399"/>
  <c r="AD64" i="399"/>
  <c r="AD68" i="399"/>
  <c r="AD72" i="399"/>
  <c r="AD76" i="399"/>
  <c r="AD54" i="399"/>
  <c r="AD58" i="399"/>
  <c r="AD62" i="399"/>
  <c r="AD66" i="399"/>
  <c r="AD70" i="399"/>
  <c r="AD74" i="399"/>
  <c r="AD87" i="399"/>
  <c r="AD55" i="399"/>
  <c r="AD59" i="399"/>
  <c r="AD63" i="399"/>
  <c r="AD67" i="399"/>
  <c r="AD71" i="399"/>
  <c r="AD75" i="399"/>
  <c r="AD78" i="399"/>
  <c r="AD80" i="399"/>
  <c r="AD82" i="399"/>
  <c r="AD84" i="399"/>
  <c r="AD86" i="399"/>
  <c r="D5" i="4" l="1"/>
  <c r="D2" i="4" l="1"/>
  <c r="D4" i="4"/>
  <c r="D1" i="4"/>
  <c r="AM87" i="399" l="1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Z73" i="399" l="1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77" i="399"/>
  <c r="AE72" i="399"/>
  <c r="AE53" i="399"/>
  <c r="AE81" i="399"/>
  <c r="AB77" i="399"/>
  <c r="AB53" i="399"/>
  <c r="AB65" i="399"/>
  <c r="AB80" i="399"/>
  <c r="AB84" i="399"/>
  <c r="AE84" i="399"/>
  <c r="AE70" i="399"/>
  <c r="AB82" i="399"/>
  <c r="AB70" i="399"/>
  <c r="AB63" i="399"/>
  <c r="AP78" i="399"/>
  <c r="AE85" i="399"/>
  <c r="AP81" i="399"/>
  <c r="AB60" i="399"/>
  <c r="AB74" i="399"/>
  <c r="AB81" i="399"/>
  <c r="AB83" i="399"/>
  <c r="AP84" i="399"/>
  <c r="AE66" i="399"/>
  <c r="AE86" i="399"/>
  <c r="AP87" i="399"/>
  <c r="AE77" i="399"/>
  <c r="AE65" i="399"/>
  <c r="AE63" i="399"/>
  <c r="AE54" i="399"/>
  <c r="AE71" i="399"/>
  <c r="AE62" i="399"/>
  <c r="AE87" i="399"/>
  <c r="AB79" i="399"/>
  <c r="AE64" i="399"/>
  <c r="AE88" i="399"/>
  <c r="AB59" i="399"/>
  <c r="AE78" i="399"/>
  <c r="AE79" i="399"/>
  <c r="AB55" i="399"/>
  <c r="AP85" i="399"/>
  <c r="AE80" i="399"/>
  <c r="AP80" i="399"/>
  <c r="AB67" i="399"/>
  <c r="AB75" i="399"/>
  <c r="AE73" i="399"/>
  <c r="AE58" i="399"/>
  <c r="AP82" i="399"/>
  <c r="AB73" i="399"/>
  <c r="AE57" i="399"/>
  <c r="AE82" i="399"/>
  <c r="AE67" i="399"/>
  <c r="AE76" i="399"/>
  <c r="AB58" i="399"/>
  <c r="AB76" i="399"/>
  <c r="AE74" i="399"/>
  <c r="AB87" i="399"/>
  <c r="AP86" i="399"/>
  <c r="AB88" i="399"/>
  <c r="AB61" i="399"/>
  <c r="AP79" i="399"/>
  <c r="AE69" i="399"/>
  <c r="AE59" i="399"/>
  <c r="AE83" i="399"/>
  <c r="AB71" i="399"/>
  <c r="AB64" i="399"/>
  <c r="AP83" i="399"/>
  <c r="AB54" i="399"/>
  <c r="AB86" i="399"/>
  <c r="AB62" i="399"/>
  <c r="AP88" i="399"/>
  <c r="AE55" i="399"/>
  <c r="AB85" i="399"/>
  <c r="AB57" i="399"/>
  <c r="AE60" i="399"/>
  <c r="AE61" i="399"/>
  <c r="AE75" i="399"/>
  <c r="AE68" i="399"/>
  <c r="AB78" i="399"/>
  <c r="AB69" i="399"/>
  <c r="AE56" i="399"/>
  <c r="AB68" i="399"/>
  <c r="AB66" i="399"/>
  <c r="AB72" i="399"/>
  <c r="AB56" i="399"/>
  <c r="AC72" i="399"/>
  <c r="AK56" i="399"/>
  <c r="AJ56" i="399"/>
  <c r="AI68" i="399"/>
  <c r="AF68" i="399"/>
  <c r="AJ75" i="399"/>
  <c r="AJ61" i="399"/>
  <c r="AF61" i="399"/>
  <c r="AG60" i="399"/>
  <c r="AC85" i="399"/>
  <c r="AI55" i="399"/>
  <c r="AU88" i="399"/>
  <c r="AC62" i="399"/>
  <c r="AU83" i="399"/>
  <c r="AC64" i="399"/>
  <c r="AJ83" i="399"/>
  <c r="AJ59" i="399"/>
  <c r="AK59" i="399"/>
  <c r="AK69" i="399"/>
  <c r="AT79" i="399"/>
  <c r="AU79" i="399"/>
  <c r="AS86" i="399"/>
  <c r="AC87" i="399"/>
  <c r="AJ74" i="399"/>
  <c r="AC58" i="399"/>
  <c r="AK76" i="399"/>
  <c r="AH67" i="399"/>
  <c r="AK67" i="399"/>
  <c r="AH82" i="399"/>
  <c r="AJ57" i="399"/>
  <c r="AK57" i="399"/>
  <c r="AQ82" i="399"/>
  <c r="AH58" i="399"/>
  <c r="AI58" i="399"/>
  <c r="AJ73" i="399"/>
  <c r="AC67" i="399"/>
  <c r="AU80" i="399"/>
  <c r="AG80" i="399"/>
  <c r="AU85" i="399"/>
  <c r="AR85" i="399"/>
  <c r="AJ79" i="399"/>
  <c r="AG78" i="399"/>
  <c r="AK78" i="399"/>
  <c r="AG88" i="399"/>
  <c r="AK88" i="399"/>
  <c r="AI64" i="399"/>
  <c r="AK87" i="399"/>
  <c r="AF87" i="399"/>
  <c r="AG62" i="399"/>
  <c r="AF71" i="399"/>
  <c r="AI71" i="399"/>
  <c r="AI54" i="399"/>
  <c r="AJ63" i="399"/>
  <c r="AG63" i="399"/>
  <c r="AF65" i="399"/>
  <c r="AI77" i="399"/>
  <c r="AG77" i="399"/>
  <c r="AS87" i="399"/>
  <c r="AI86" i="399"/>
  <c r="AK86" i="399"/>
  <c r="AJ66" i="399"/>
  <c r="AR84" i="399"/>
  <c r="AC83" i="399"/>
  <c r="AU81" i="399"/>
  <c r="AR81" i="399"/>
  <c r="AK85" i="399"/>
  <c r="AQ78" i="399"/>
  <c r="AC63" i="399"/>
  <c r="AG70" i="399"/>
  <c r="AI70" i="399"/>
  <c r="AK84" i="399"/>
  <c r="AC80" i="399"/>
  <c r="AF81" i="399"/>
  <c r="AH81" i="399"/>
  <c r="AI53" i="399"/>
  <c r="AI72" i="399"/>
  <c r="AJ72" i="399"/>
  <c r="AS77" i="399"/>
  <c r="AC66" i="399"/>
  <c r="AI56" i="399"/>
  <c r="AC69" i="399"/>
  <c r="AG68" i="399"/>
  <c r="AK75" i="399"/>
  <c r="AF75" i="399"/>
  <c r="AI61" i="399"/>
  <c r="AJ60" i="399"/>
  <c r="AF60" i="399"/>
  <c r="AF55" i="399"/>
  <c r="AK55" i="399"/>
  <c r="AR88" i="399"/>
  <c r="AC86" i="399"/>
  <c r="AS83" i="399"/>
  <c r="AC71" i="399"/>
  <c r="AH83" i="399"/>
  <c r="AI59" i="399"/>
  <c r="AF59" i="399"/>
  <c r="AJ69" i="399"/>
  <c r="AS79" i="399"/>
  <c r="AC61" i="399"/>
  <c r="AQ86" i="399"/>
  <c r="AK74" i="399"/>
  <c r="AH74" i="399"/>
  <c r="AH76" i="399"/>
  <c r="AG76" i="399"/>
  <c r="AJ67" i="399"/>
  <c r="AK82" i="399"/>
  <c r="AJ82" i="399"/>
  <c r="AH57" i="399"/>
  <c r="AC73" i="399"/>
  <c r="AS82" i="399"/>
  <c r="AF58" i="399"/>
  <c r="AH73" i="399"/>
  <c r="AG73" i="399"/>
  <c r="AQ80" i="399"/>
  <c r="AR80" i="399"/>
  <c r="AF80" i="399"/>
  <c r="AT85" i="399"/>
  <c r="AC55" i="399"/>
  <c r="AG79" i="399"/>
  <c r="AH78" i="399"/>
  <c r="AJ78" i="399"/>
  <c r="AJ88" i="399"/>
  <c r="AK64" i="399"/>
  <c r="AC68" i="399"/>
  <c r="AC78" i="399"/>
  <c r="AG75" i="399"/>
  <c r="AG61" i="399"/>
  <c r="AH60" i="399"/>
  <c r="AH55" i="399"/>
  <c r="AC54" i="399"/>
  <c r="AG83" i="399"/>
  <c r="AH59" i="399"/>
  <c r="AF69" i="399"/>
  <c r="AC88" i="399"/>
  <c r="AF74" i="399"/>
  <c r="AF76" i="399"/>
  <c r="AG67" i="399"/>
  <c r="AG82" i="399"/>
  <c r="AU82" i="399"/>
  <c r="AJ58" i="399"/>
  <c r="AK73" i="399"/>
  <c r="AK80" i="399"/>
  <c r="AQ85" i="399"/>
  <c r="AF79" i="399"/>
  <c r="AC59" i="399"/>
  <c r="AH64" i="399"/>
  <c r="AC79" i="399"/>
  <c r="AJ87" i="399"/>
  <c r="AF62" i="399"/>
  <c r="AG71" i="399"/>
  <c r="AK54" i="399"/>
  <c r="AK63" i="399"/>
  <c r="AG65" i="399"/>
  <c r="AF77" i="399"/>
  <c r="AT87" i="399"/>
  <c r="AG86" i="399"/>
  <c r="AI66" i="399"/>
  <c r="AG66" i="399"/>
  <c r="AT84" i="399"/>
  <c r="AT81" i="399"/>
  <c r="AF85" i="399"/>
  <c r="AT78" i="399"/>
  <c r="AC70" i="399"/>
  <c r="AF70" i="399"/>
  <c r="AJ84" i="399"/>
  <c r="AC65" i="399"/>
  <c r="AI81" i="399"/>
  <c r="AK53" i="399"/>
  <c r="AH72" i="399"/>
  <c r="AQ77" i="399"/>
  <c r="AG56" i="399"/>
  <c r="AH68" i="399"/>
  <c r="AH75" i="399"/>
  <c r="AH61" i="399"/>
  <c r="AC57" i="399"/>
  <c r="AT88" i="399"/>
  <c r="AQ83" i="399"/>
  <c r="AI83" i="399"/>
  <c r="AG59" i="399"/>
  <c r="AH69" i="399"/>
  <c r="AR86" i="399"/>
  <c r="AG74" i="399"/>
  <c r="AI76" i="399"/>
  <c r="AI67" i="399"/>
  <c r="AG57" i="399"/>
  <c r="AR82" i="399"/>
  <c r="AG58" i="399"/>
  <c r="AC75" i="399"/>
  <c r="AI80" i="399"/>
  <c r="AS85" i="399"/>
  <c r="AK79" i="399"/>
  <c r="AH88" i="399"/>
  <c r="AJ64" i="399"/>
  <c r="AH87" i="399"/>
  <c r="AI62" i="399"/>
  <c r="AJ62" i="399"/>
  <c r="AH71" i="399"/>
  <c r="AG54" i="399"/>
  <c r="AF63" i="399"/>
  <c r="AK65" i="399"/>
  <c r="AJ77" i="399"/>
  <c r="AU87" i="399"/>
  <c r="AF86" i="399"/>
  <c r="AF66" i="399"/>
  <c r="AS84" i="399"/>
  <c r="AC81" i="399"/>
  <c r="AS81" i="399"/>
  <c r="AI85" i="399"/>
  <c r="AU78" i="399"/>
  <c r="AC82" i="399"/>
  <c r="AH70" i="399"/>
  <c r="AH84" i="399"/>
  <c r="AC53" i="399"/>
  <c r="AJ81" i="399"/>
  <c r="AH53" i="399"/>
  <c r="AF72" i="399"/>
  <c r="AT77" i="399"/>
  <c r="AC56" i="399"/>
  <c r="AF56" i="399"/>
  <c r="AK68" i="399"/>
  <c r="AK61" i="399"/>
  <c r="AI60" i="399"/>
  <c r="AJ55" i="399"/>
  <c r="AQ88" i="399"/>
  <c r="AT83" i="399"/>
  <c r="AK83" i="399"/>
  <c r="AI69" i="399"/>
  <c r="AR79" i="399"/>
  <c r="AT86" i="399"/>
  <c r="AC76" i="399"/>
  <c r="AF67" i="399"/>
  <c r="AI57" i="399"/>
  <c r="AK58" i="399"/>
  <c r="AF73" i="399"/>
  <c r="AS80" i="399"/>
  <c r="AJ80" i="399"/>
  <c r="AI79" i="399"/>
  <c r="AF88" i="399"/>
  <c r="AG64" i="399"/>
  <c r="AH62" i="399"/>
  <c r="AJ54" i="399"/>
  <c r="AI63" i="399"/>
  <c r="AJ65" i="399"/>
  <c r="AQ87" i="399"/>
  <c r="AQ84" i="399"/>
  <c r="AJ85" i="399"/>
  <c r="AS78" i="399"/>
  <c r="AI84" i="399"/>
  <c r="AG81" i="399"/>
  <c r="AJ53" i="399"/>
  <c r="AR77" i="399"/>
  <c r="AH56" i="399"/>
  <c r="AJ68" i="399"/>
  <c r="AI75" i="399"/>
  <c r="AK60" i="399"/>
  <c r="AG55" i="399"/>
  <c r="AS88" i="399"/>
  <c r="AR83" i="399"/>
  <c r="AF83" i="399"/>
  <c r="AG69" i="399"/>
  <c r="AQ79" i="399"/>
  <c r="AU86" i="399"/>
  <c r="AI74" i="399"/>
  <c r="AJ76" i="399"/>
  <c r="AI82" i="399"/>
  <c r="AF57" i="399"/>
  <c r="AT82" i="399"/>
  <c r="AI73" i="399"/>
  <c r="AT80" i="399"/>
  <c r="AH80" i="399"/>
  <c r="AH79" i="399"/>
  <c r="AI78" i="399"/>
  <c r="AI88" i="399"/>
  <c r="AF64" i="399"/>
  <c r="AI87" i="399"/>
  <c r="AK62" i="399"/>
  <c r="AJ71" i="399"/>
  <c r="AH54" i="399"/>
  <c r="AF54" i="399"/>
  <c r="AH63" i="399"/>
  <c r="AH65" i="399"/>
  <c r="AH77" i="399"/>
  <c r="AR87" i="399"/>
  <c r="AJ86" i="399"/>
  <c r="AK66" i="399"/>
  <c r="AU84" i="399"/>
  <c r="AC74" i="399"/>
  <c r="AQ81" i="399"/>
  <c r="AG85" i="399"/>
  <c r="AR78" i="399"/>
  <c r="AK70" i="399"/>
  <c r="AF84" i="399"/>
  <c r="AG84" i="399"/>
  <c r="AC77" i="399"/>
  <c r="AK81" i="399"/>
  <c r="AG53" i="399"/>
  <c r="AG72" i="399"/>
  <c r="AU77" i="399"/>
  <c r="AF82" i="399"/>
  <c r="AF78" i="399"/>
  <c r="AG87" i="399"/>
  <c r="AK71" i="399"/>
  <c r="AI65" i="399"/>
  <c r="AK77" i="399"/>
  <c r="AH86" i="399"/>
  <c r="AH66" i="399"/>
  <c r="AC60" i="399"/>
  <c r="AH85" i="399"/>
  <c r="AJ70" i="399"/>
  <c r="AC84" i="399"/>
  <c r="AF53" i="399"/>
  <c r="AK72" i="399"/>
  <c r="AF89" i="399" l="1"/>
  <c r="AG89" i="399"/>
  <c r="X106" i="399"/>
  <c r="AC89" i="399"/>
  <c r="X103" i="399" s="1"/>
  <c r="AJ89" i="399"/>
  <c r="AH89" i="399"/>
  <c r="X104" i="399"/>
  <c r="AK89" i="399"/>
  <c r="X105" i="399"/>
  <c r="AI89" i="399"/>
  <c r="X101" i="399" l="1"/>
  <c r="X100" i="399"/>
  <c r="Y102" i="399" l="1"/>
  <c r="Z102" i="399" s="1"/>
  <c r="X102" i="399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sourceFile="J:\ARPS\config\phone_list.xlsx" odcFile="C:\Users\2019353\Documents\My Data Sources\phone_list PHONE_LIST$.odc" keepAlive="1" name="phone_list PHONE_LIST$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3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<sst xmlns="http://schemas.openxmlformats.org/spreadsheetml/2006/main" count="4198" uniqueCount="3345">
  <si>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</si>
  <si>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</si>
  <si>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</si>
  <si>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</si>
  <si>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</si>
  <si>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</si>
  <si>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</si>
  <si>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</si>
  <si>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</si>
  <si>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</si>
  <si>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</si>
  <si>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</si>
  <si>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</si>
  <si>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</si>
  <si>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</si>
  <si>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</si>
  <si>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</si>
  <si>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</si>
  <si>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</si>
  <si>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</si>
  <si>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</si>
  <si>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</si>
  <si>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</si>
  <si>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</si>
  <si>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</si>
  <si>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</si>
  <si>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</si>
  <si>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</si>
  <si>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</si>
  <si>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</si>
  <si>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</si>
  <si>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</si>
  <si>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</si>
  <si>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</si>
  <si>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</si>
  <si>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</si>
  <si>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</si>
  <si>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</si>
  <si>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</si>
  <si>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</si>
  <si>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</si>
  <si>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</si>
  <si>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</si>
  <si>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</si>
  <si>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</si>
  <si>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</si>
  <si>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</si>
  <si>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</si>
  <si>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</si>
  <si>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</si>
  <si>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</si>
  <si>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</si>
  <si>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</si>
  <si>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</si>
  <si>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</si>
  <si>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</si>
  <si>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</si>
  <si>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</si>
  <si>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</si>
  <si>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</si>
  <si>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</si>
  <si>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</si>
  <si>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</si>
  <si>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</si>
  <si>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</si>
  <si>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</si>
  <si>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</si>
  <si>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</si>
  <si>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</si>
  <si>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</si>
  <si>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</si>
  <si>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</si>
  <si>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</si>
  <si>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</si>
  <si>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</si>
  <si>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</si>
  <si>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</si>
  <si>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</si>
  <si>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</si>
  <si>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</si>
  <si>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</si>
  <si>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</si>
  <si>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</si>
  <si>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</si>
  <si>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</si>
  <si>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</si>
  <si>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</si>
  <si>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</si>
  <si>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</si>
  <si>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</si>
  <si>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</si>
  <si>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</si>
  <si>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</si>
  <si>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</si>
  <si>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</si>
  <si>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</si>
  <si>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</si>
  <si>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</si>
  <si>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</si>
  <si>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</si>
  <si>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</si>
  <si>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</si>
  <si>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</si>
  <si>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</si>
  <si>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</si>
  <si>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</si>
  <si>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</si>
  <si>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</si>
  <si>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</si>
  <si>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</si>
  <si>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</si>
  <si>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</si>
  <si>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</si>
  <si>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</si>
  <si>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</si>
  <si>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</si>
  <si>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</si>
  <si>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</si>
  <si>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</si>
  <si>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</si>
  <si>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</si>
  <si>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</si>
  <si>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</si>
  <si>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</si>
  <si>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</si>
  <si>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</si>
  <si>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</si>
  <si>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</si>
  <si>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</si>
  <si>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</si>
  <si>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</si>
  <si>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</si>
  <si>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</si>
  <si>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</si>
  <si>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</si>
  <si>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</si>
  <si>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</si>
  <si>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</si>
  <si>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</si>
  <si>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</si>
  <si>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</si>
  <si>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</si>
  <si>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</si>
  <si>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</si>
  <si>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</si>
  <si>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</si>
  <si>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</si>
  <si>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</si>
  <si>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</si>
  <si>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</si>
  <si>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</si>
  <si>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</si>
  <si>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</si>
  <si>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</si>
  <si>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</si>
  <si>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</si>
  <si>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</si>
  <si>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</si>
  <si>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</si>
  <si>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</si>
  <si>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</si>
  <si>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</si>
  <si>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</si>
  <si>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</si>
  <si>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</si>
  <si>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</si>
  <si>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</si>
  <si>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</si>
  <si>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</si>
  <si>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</si>
  <si>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</si>
  <si>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</si>
  <si>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</si>
  <si>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</si>
  <si>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</si>
  <si>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</si>
  <si>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</si>
  <si>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</si>
  <si>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</si>
  <si>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</si>
  <si>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</si>
  <si>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</si>
  <si>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</si>
  <si>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</si>
  <si>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</si>
  <si>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</si>
  <si>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</si>
  <si>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</si>
  <si>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</si>
  <si>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</si>
  <si>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</si>
  <si>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</si>
  <si>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</si>
  <si>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</si>
  <si>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</si>
  <si>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</si>
  <si>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</si>
  <si>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</si>
  <si>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</si>
  <si>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</si>
  <si>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</si>
  <si>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</si>
  <si>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</si>
  <si>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</si>
  <si>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</si>
  <si>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</si>
  <si>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</si>
  <si>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</si>
  <si>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</si>
  <si>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</si>
  <si>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</si>
  <si>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</si>
  <si>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</si>
  <si>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</si>
  <si>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</si>
  <si>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</si>
  <si>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</si>
  <si>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</si>
  <si>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</si>
  <si>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</si>
  <si>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</si>
  <si>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</si>
  <si>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</si>
  <si>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</si>
  <si>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</si>
  <si>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</si>
  <si>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</si>
  <si>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</si>
  <si>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</si>
  <si>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</si>
  <si>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</si>
  <si>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</si>
  <si>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</si>
  <si>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</si>
  <si>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</si>
  <si>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</si>
  <si>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</si>
  <si>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</si>
  <si>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</si>
  <si>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</si>
  <si>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</si>
  <si>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</si>
  <si>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</si>
  <si>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</si>
  <si>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</si>
  <si>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</si>
  <si>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</si>
  <si>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</si>
  <si>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</si>
  <si>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</si>
  <si>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</si>
  <si>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</si>
  <si>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</si>
  <si>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</si>
  <si>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</si>
  <si>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</si>
  <si>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</si>
  <si>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</si>
  <si>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</si>
  <si>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</si>
  <si>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</si>
  <si>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</si>
  <si>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</si>
  <si>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</si>
  <si>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</si>
  <si>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</si>
  <si>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</si>
  <si>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</si>
  <si>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</si>
  <si>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</si>
  <si>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</si>
  <si>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</si>
  <si>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</si>
  <si>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</si>
  <si>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</si>
  <si>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</si>
  <si>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</si>
  <si>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</si>
  <si>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</si>
  <si>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</si>
  <si>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</si>
  <si>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</si>
  <si>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</si>
  <si>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</si>
  <si>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</si>
  <si>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</si>
  <si>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</si>
  <si>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</si>
  <si>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</si>
  <si>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</si>
  <si>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</si>
  <si>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</si>
  <si>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</si>
  <si>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</si>
  <si>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</si>
  <si>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</si>
  <si>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</si>
  <si>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</si>
  <si>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</si>
  <si>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</si>
  <si>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</si>
  <si>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</si>
  <si>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</si>
  <si>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</si>
  <si>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</si>
  <si>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</si>
  <si>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</si>
  <si>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</si>
  <si>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</si>
  <si>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</si>
  <si>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</si>
  <si>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</si>
  <si>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</si>
  <si>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</si>
  <si>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</si>
  <si>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</si>
  <si>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</si>
  <si>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</si>
  <si>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</si>
  <si>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</si>
  <si>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</si>
  <si>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</si>
  <si>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</si>
  <si>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</si>
  <si>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</si>
  <si>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</si>
  <si>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</si>
  <si>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</si>
  <si>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</si>
  <si>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</si>
  <si>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</si>
  <si>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</si>
  <si>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</si>
  <si>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</si>
  <si>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</si>
  <si>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</si>
  <si>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</si>
  <si>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</si>
  <si>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</si>
  <si>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</si>
  <si>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</si>
  <si>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</si>
  <si>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</si>
  <si>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</si>
  <si>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</si>
  <si>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</si>
  <si>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</si>
  <si>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</si>
  <si>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</si>
  <si>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</si>
  <si>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</si>
  <si>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</si>
  <si>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</si>
  <si>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</si>
  <si>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</si>
  <si>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</si>
  <si>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</si>
  <si>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</si>
  <si>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</si>
  <si>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</si>
  <si>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</si>
  <si>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</si>
  <si>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</si>
  <si>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</si>
  <si>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</si>
  <si>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</si>
  <si>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</si>
  <si>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</si>
  <si>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</si>
  <si>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</si>
  <si>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</si>
  <si>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</si>
  <si>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</si>
  <si>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</si>
  <si>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</si>
  <si>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</si>
  <si>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</si>
  <si>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</si>
  <si>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</si>
  <si>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</si>
  <si>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</si>
  <si>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</si>
  <si>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</si>
  <si>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</si>
  <si>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</si>
  <si>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</si>
  <si>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</si>
  <si>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</si>
  <si>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</si>
  <si>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</si>
  <si>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</si>
  <si>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</si>
  <si>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</si>
  <si>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</si>
  <si>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</si>
  <si>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</si>
  <si>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</si>
  <si>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</si>
  <si>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</si>
  <si>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</si>
  <si>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</si>
  <si>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</si>
  <si>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</si>
  <si>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</si>
  <si>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</si>
  <si>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</si>
  <si>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</si>
  <si>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</si>
  <si>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</si>
  <si>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</si>
  <si>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</si>
  <si>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</si>
  <si>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</si>
  <si>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</si>
  <si>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</si>
  <si>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</si>
  <si>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</si>
  <si>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</si>
  <si>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</si>
  <si>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</si>
  <si>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</si>
  <si>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</si>
  <si>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</si>
  <si>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</si>
  <si>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</si>
  <si>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</si>
  <si>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</si>
  <si>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</si>
  <si>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</si>
  <si>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</si>
  <si>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</si>
  <si>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</si>
  <si>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</si>
  <si>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</si>
  <si>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</si>
  <si>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</si>
  <si>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</si>
  <si>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</si>
  <si>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</si>
  <si>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</si>
  <si>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</si>
  <si>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</si>
  <si>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</si>
  <si>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</si>
  <si>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</si>
  <si>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</si>
  <si>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</si>
  <si>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</si>
  <si>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</si>
  <si>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</si>
  <si>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</si>
  <si>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</si>
  <si>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</si>
  <si>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</si>
  <si>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</si>
  <si>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</si>
  <si>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</si>
  <si>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</si>
  <si>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</si>
  <si>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</si>
  <si>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</si>
  <si>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</si>
  <si>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</si>
  <si>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</si>
  <si>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</si>
  <si>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</si>
  <si>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</si>
  <si>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</si>
  <si>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</si>
  <si>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</si>
  <si>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</si>
  <si>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</si>
  <si>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</si>
  <si>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</si>
  <si>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</si>
  <si>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</si>
  <si>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</si>
  <si>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</si>
  <si>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</si>
  <si>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</si>
  <si>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</si>
  <si>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</si>
  <si>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</si>
  <si>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</si>
  <si>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</si>
  <si>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</si>
  <si>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</si>
  <si>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</si>
  <si>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</si>
  <si>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</si>
  <si>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</si>
  <si>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</si>
  <si>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</si>
  <si>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</si>
  <si>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</si>
  <si>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</si>
  <si>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</si>
  <si>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</si>
  <si>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BAP_MONTHLY_GOAL</t>
  </si>
  <si>
    <t>ROW_BAP_SRC</t>
  </si>
  <si>
    <t>NUM_COMPANIONSHIPS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</si>
  <si>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</si>
  <si>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</si>
  <si>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</si>
  <si>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</si>
  <si>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</si>
  <si>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</si>
  <si>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</si>
  <si>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</si>
  <si>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</si>
  <si>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</si>
  <si>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</si>
  <si>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</si>
  <si>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</si>
  <si>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</si>
  <si>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</si>
  <si>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</si>
  <si>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</si>
  <si>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</si>
  <si>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</si>
  <si>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</si>
  <si>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</si>
  <si>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</si>
  <si>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</si>
  <si>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</si>
  <si>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</si>
  <si>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</si>
  <si>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</si>
  <si>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</si>
  <si>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</si>
  <si>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</si>
  <si>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</si>
  <si>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</si>
  <si>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</si>
  <si>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</si>
  <si>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</si>
  <si>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</si>
  <si>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</si>
  <si>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</si>
  <si>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</si>
  <si>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</si>
  <si>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</si>
  <si>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</si>
  <si>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</si>
  <si>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</si>
  <si>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</si>
  <si>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</si>
  <si>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</si>
  <si>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</si>
  <si>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</si>
  <si>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</si>
  <si>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</si>
  <si>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</si>
  <si>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</si>
  <si>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</si>
  <si>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</si>
  <si>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</si>
  <si>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</si>
  <si>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</si>
  <si>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</si>
  <si>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</si>
  <si>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</si>
  <si>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</si>
  <si>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</si>
  <si>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</si>
  <si>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</si>
  <si>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</si>
  <si>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</si>
  <si>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</si>
  <si>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</si>
  <si>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</si>
  <si>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</si>
  <si>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</si>
  <si>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</si>
  <si>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</si>
  <si>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</si>
  <si>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</si>
  <si>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</si>
  <si>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</si>
  <si>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</si>
  <si>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</si>
  <si>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</si>
  <si>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</si>
  <si>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</si>
  <si>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</si>
  <si>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</si>
  <si>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</si>
  <si>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</si>
  <si>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</si>
  <si>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</si>
  <si>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</si>
  <si>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</si>
  <si>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</si>
  <si>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</si>
  <si>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</si>
  <si>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</si>
  <si>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</si>
  <si>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</si>
  <si>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</si>
  <si>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</si>
  <si>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</si>
  <si>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</si>
  <si>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</si>
  <si>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</si>
  <si>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</si>
  <si>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</si>
  <si>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</si>
  <si>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</si>
  <si>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</si>
  <si>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</si>
  <si>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</si>
  <si>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</si>
  <si>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</si>
  <si>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</si>
  <si>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</si>
  <si>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</si>
  <si>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</si>
  <si>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</si>
  <si>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</si>
  <si>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</si>
  <si>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</si>
  <si>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</si>
  <si>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</si>
  <si>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</si>
  <si>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</si>
  <si>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</si>
  <si>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</si>
  <si>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</si>
  <si>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</si>
  <si>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</si>
  <si>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</si>
  <si>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</si>
  <si>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</si>
  <si>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</si>
  <si>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</si>
  <si>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</si>
  <si>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</si>
  <si>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</si>
  <si>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</si>
  <si>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</si>
  <si>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</si>
  <si>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</si>
  <si>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</si>
  <si>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</si>
  <si>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</si>
  <si>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</si>
  <si>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</si>
  <si>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</si>
  <si>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</si>
  <si>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</si>
  <si>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</si>
  <si>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</si>
  <si>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</si>
  <si>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</si>
  <si>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</si>
  <si>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</si>
  <si>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</si>
  <si>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</si>
  <si>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</si>
  <si>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</si>
  <si>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</si>
  <si>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</si>
  <si>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</si>
  <si>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</si>
  <si>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</si>
  <si>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</si>
  <si>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</si>
  <si>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</si>
  <si>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</si>
  <si>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</si>
  <si>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</si>
  <si>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</si>
  <si>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</si>
  <si>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</si>
  <si>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</si>
  <si>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</si>
  <si>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</si>
  <si>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</si>
  <si>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</si>
  <si>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</si>
  <si>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</si>
  <si>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</si>
  <si>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</si>
  <si>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</si>
  <si>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</si>
  <si>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</si>
  <si>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</si>
  <si>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</si>
  <si>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</si>
  <si>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</si>
  <si>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</si>
  <si>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</si>
  <si>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</si>
  <si>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</si>
  <si>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</si>
  <si>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</si>
  <si>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</si>
  <si>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</si>
  <si>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</si>
  <si>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</si>
  <si>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</si>
  <si>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</si>
  <si>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</si>
  <si>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</si>
  <si>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</si>
  <si>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</si>
  <si>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</si>
  <si>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</si>
  <si>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</si>
  <si>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</si>
  <si>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</si>
  <si>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</si>
  <si>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</si>
  <si>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</si>
  <si>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</si>
  <si>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</si>
  <si>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</si>
  <si>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</si>
  <si>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</si>
  <si>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</si>
  <si>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</si>
  <si>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</si>
  <si>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</si>
  <si>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</si>
  <si>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</si>
  <si>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</si>
  <si>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</si>
  <si>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</si>
  <si>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</si>
  <si>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</si>
  <si>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</si>
  <si>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</si>
  <si>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</si>
  <si>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</si>
  <si>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</si>
  <si>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</si>
  <si>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</si>
  <si>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</si>
  <si>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</si>
  <si>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</si>
  <si>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</si>
  <si>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</si>
  <si>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</si>
  <si>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</si>
  <si>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</si>
  <si>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</si>
  <si>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</si>
  <si>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</si>
  <si>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</si>
  <si>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</si>
  <si>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</si>
  <si>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</si>
  <si>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</si>
  <si>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</si>
  <si>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</si>
  <si>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</si>
  <si>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</si>
  <si>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</si>
  <si>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</si>
  <si>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</si>
  <si>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</si>
  <si>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</si>
  <si>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</si>
  <si>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</si>
  <si>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</si>
  <si>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</si>
  <si>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</si>
  <si>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</si>
  <si>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</si>
  <si>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</si>
  <si>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</si>
  <si>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</si>
  <si>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</si>
  <si>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</si>
  <si>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</si>
  <si>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</si>
  <si>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</si>
  <si>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</si>
  <si>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</si>
  <si>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S. Pendergrass / Nanney STL</t>
  </si>
  <si>
    <t>E. Boyce / Bell</t>
  </si>
  <si>
    <t>E. Miner DL / Welch</t>
  </si>
  <si>
    <t>E. Casper / Turner</t>
  </si>
  <si>
    <t>S. Komatsu / Clawson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</si>
  <si>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</si>
  <si>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</si>
  <si>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</si>
  <si>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</si>
  <si>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</si>
  <si>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</si>
  <si>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</si>
  <si>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</si>
  <si>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</si>
  <si>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</si>
  <si>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</si>
  <si>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</si>
  <si>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</si>
  <si>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</si>
  <si>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</si>
  <si>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</si>
  <si>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</si>
  <si>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</si>
  <si>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</si>
  <si>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</si>
  <si>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</si>
  <si>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</si>
  <si>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</si>
  <si>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</si>
  <si>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</si>
  <si>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</si>
  <si>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</si>
  <si>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</si>
  <si>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</si>
  <si>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</si>
  <si>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</si>
  <si>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</si>
  <si>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</si>
  <si>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</si>
  <si>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</si>
  <si>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</si>
  <si>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</si>
  <si>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</si>
  <si>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</si>
  <si>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</si>
  <si>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</si>
  <si>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</si>
  <si>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</si>
  <si>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</si>
  <si>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</si>
  <si>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</si>
  <si>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</si>
  <si>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</si>
  <si>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</si>
  <si>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</si>
  <si>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</si>
  <si>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</si>
  <si>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</si>
  <si>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</si>
  <si>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</si>
  <si>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</si>
  <si>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</si>
  <si>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</si>
  <si>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</si>
  <si>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</si>
  <si>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</si>
  <si>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</si>
  <si>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</si>
  <si>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</si>
  <si>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</si>
  <si>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</si>
  <si>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</si>
  <si>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</si>
  <si>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</si>
  <si>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</si>
  <si>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</si>
  <si>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</si>
  <si>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</si>
  <si>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</si>
  <si>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</si>
  <si>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</si>
  <si>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</si>
  <si>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</si>
  <si>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</si>
  <si>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</si>
  <si>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</si>
  <si>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</si>
  <si>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</si>
  <si>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</si>
  <si>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</si>
  <si>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</si>
  <si>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</si>
  <si>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</si>
  <si>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</si>
  <si>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</si>
  <si>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</si>
  <si>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</si>
  <si>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</si>
  <si>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</si>
  <si>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</si>
  <si>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</si>
  <si>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</si>
  <si>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</si>
  <si>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</si>
  <si>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</si>
  <si>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</si>
  <si>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</si>
  <si>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</si>
  <si>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</si>
  <si>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</si>
  <si>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</si>
  <si>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</si>
  <si>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</si>
  <si>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</si>
  <si>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</si>
  <si>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</si>
  <si>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</si>
  <si>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</si>
  <si>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</si>
  <si>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</si>
  <si>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</si>
  <si>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</si>
  <si>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</si>
  <si>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</si>
  <si>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</si>
  <si>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</si>
  <si>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</si>
  <si>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</si>
  <si>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</si>
  <si>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</si>
  <si>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</si>
  <si>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</si>
  <si>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</si>
  <si>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</si>
  <si>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</si>
  <si>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</si>
  <si>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</si>
  <si>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</si>
  <si>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</si>
  <si>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</si>
  <si>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</si>
  <si>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</si>
  <si>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</si>
  <si>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</si>
  <si>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</si>
  <si>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</si>
  <si>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</si>
  <si>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</si>
  <si>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</si>
  <si>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</si>
  <si>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</si>
  <si>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</si>
  <si>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</si>
  <si>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</si>
  <si>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</si>
  <si>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</si>
  <si>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</si>
  <si>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</si>
  <si>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</si>
  <si>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</si>
  <si>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</si>
  <si>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</si>
  <si>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</si>
  <si>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</si>
  <si>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</si>
  <si>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</si>
  <si>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</si>
  <si>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</si>
  <si>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</si>
  <si>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</si>
  <si>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</si>
  <si>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</si>
  <si>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</si>
  <si>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</si>
  <si>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</si>
  <si>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</si>
  <si>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</si>
  <si>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</si>
  <si>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</si>
  <si>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</si>
  <si>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</si>
  <si>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</si>
  <si>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</si>
  <si>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</si>
  <si>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</si>
  <si>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</si>
  <si>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</si>
  <si>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</si>
  <si>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</si>
  <si>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</si>
  <si>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</si>
  <si>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</si>
  <si>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</si>
  <si>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</si>
  <si>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</si>
  <si>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</si>
  <si>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</si>
  <si>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</si>
  <si>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</si>
  <si>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</si>
  <si>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</si>
  <si>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</si>
  <si>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</si>
  <si>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</si>
  <si>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</si>
  <si>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</si>
  <si>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</si>
  <si>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</si>
  <si>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</si>
  <si>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</si>
  <si>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</si>
  <si>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</si>
  <si>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</si>
  <si>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</si>
  <si>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</si>
  <si>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</si>
  <si>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</si>
  <si>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</si>
  <si>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</si>
  <si>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</si>
  <si>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</si>
  <si>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</si>
  <si>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</si>
  <si>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</si>
  <si>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</si>
  <si>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</si>
  <si>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</si>
  <si>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</si>
  <si>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</si>
  <si>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</si>
  <si>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</si>
  <si>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</si>
  <si>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</si>
  <si>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</si>
  <si>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</si>
  <si>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</si>
  <si>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</si>
  <si>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</si>
  <si>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</si>
  <si>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E. Gray / Peterson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</si>
  <si>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</si>
  <si>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</si>
  <si>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</si>
  <si>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</si>
  <si>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</si>
  <si>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</si>
  <si>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</si>
  <si>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E. Crawford DL / Swank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</si>
  <si>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</si>
  <si>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</si>
  <si>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</si>
  <si>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</si>
  <si>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</si>
  <si>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</si>
  <si>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</si>
  <si>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</si>
  <si>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</si>
  <si>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E. Jensen / Garlick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</si>
  <si>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</si>
  <si>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</si>
  <si>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</si>
  <si>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</si>
  <si>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E. Pack / Humphries 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</si>
  <si>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</si>
  <si>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</si>
  <si>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</si>
  <si>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</si>
  <si>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</si>
  <si>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</si>
  <si>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</si>
  <si>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</si>
  <si>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</si>
  <si>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</si>
  <si>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</si>
  <si>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</si>
  <si>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</si>
  <si>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</si>
  <si>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</si>
  <si>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</si>
  <si>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E. Robinson / Christensen ZL</t>
  </si>
  <si>
    <t>JINGXIN</t>
  </si>
  <si>
    <t>XINDIAN,JINGMEI,景美</t>
  </si>
  <si>
    <t>0972576573</t>
  </si>
  <si>
    <t>JINGXIN_S</t>
  </si>
  <si>
    <t>0965113871</t>
  </si>
  <si>
    <t>JINHUA_S</t>
  </si>
  <si>
    <t>S. Wang / Menzie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</si>
  <si>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</si>
  <si>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</si>
  <si>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</si>
  <si>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</si>
  <si>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</si>
  <si>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</si>
  <si>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</si>
  <si>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</si>
  <si>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</si>
  <si>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</si>
  <si>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</si>
  <si>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</si>
  <si>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</si>
  <si>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</si>
  <si>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</si>
  <si>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</si>
  <si>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</si>
  <si>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</si>
  <si>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</si>
  <si>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</si>
  <si>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</si>
  <si>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</si>
  <si>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</si>
  <si>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</si>
  <si>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</si>
  <si>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</si>
  <si>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</si>
  <si>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</si>
  <si>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</si>
  <si>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</si>
  <si>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</si>
  <si>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</si>
  <si>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</si>
  <si>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</si>
  <si>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</si>
  <si>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</si>
  <si>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</si>
  <si>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</si>
  <si>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</si>
  <si>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</si>
  <si>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</si>
  <si>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</si>
  <si>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</si>
  <si>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</si>
  <si>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</si>
  <si>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</si>
  <si>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</si>
  <si>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</si>
  <si>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</si>
  <si>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</si>
  <si>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E. Richards DL / Budd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</si>
  <si>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</si>
  <si>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</si>
  <si>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</si>
  <si>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</si>
  <si>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</si>
  <si>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</si>
  <si>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</si>
  <si>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</si>
  <si>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</si>
  <si>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</si>
  <si>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</si>
  <si>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</si>
  <si>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</si>
  <si>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</si>
  <si>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</si>
  <si>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</si>
  <si>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</si>
  <si>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</si>
  <si>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</si>
  <si>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</si>
  <si>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</si>
  <si>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</si>
  <si>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</si>
  <si>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E. Kirschner / Rauckhorst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</si>
  <si>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</si>
  <si>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</si>
  <si>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</si>
  <si>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</si>
  <si>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</si>
  <si>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</si>
  <si>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</si>
  <si>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</si>
  <si>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</si>
  <si>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</si>
  <si>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</si>
  <si>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</si>
  <si>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</si>
  <si>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</si>
  <si>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</si>
  <si>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</si>
  <si>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</si>
  <si>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</si>
  <si>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E. Love / Shih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</si>
  <si>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</si>
  <si>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</si>
  <si>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</si>
  <si>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</si>
  <si>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</si>
  <si>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</si>
  <si>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</si>
  <si>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</si>
  <si>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</si>
  <si>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</si>
  <si>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</si>
  <si>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</si>
  <si>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</si>
  <si>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</si>
  <si>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</si>
  <si>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</si>
  <si>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</si>
  <si>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E. Huntsman / Johnson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</si>
  <si>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</si>
  <si>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</si>
  <si>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</si>
  <si>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</si>
  <si>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</si>
  <si>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</si>
  <si>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</si>
  <si>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</si>
  <si>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</si>
  <si>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</si>
  <si>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</si>
  <si>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</si>
  <si>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</si>
  <si>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</si>
  <si>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</si>
  <si>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</si>
  <si>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S. Knapp / Scharman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</si>
  <si>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</si>
  <si>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</si>
  <si>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</si>
  <si>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</si>
  <si>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</si>
  <si>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</si>
  <si>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</si>
  <si>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</si>
  <si>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</si>
  <si>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</si>
  <si>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</si>
  <si>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</si>
  <si>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</si>
  <si>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</si>
  <si>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</si>
  <si>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</si>
  <si>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</si>
  <si>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</si>
  <si>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</si>
  <si>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</si>
  <si>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</si>
  <si>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</si>
  <si>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</si>
  <si>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</si>
  <si>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</si>
  <si>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</si>
  <si>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</si>
  <si>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</si>
  <si>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</si>
  <si>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</si>
  <si>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S. Pierson / Shek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</si>
  <si>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</si>
  <si>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</si>
  <si>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</si>
  <si>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</si>
  <si>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</si>
  <si>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</si>
  <si>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</si>
  <si>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</si>
  <si>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</si>
  <si>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</si>
  <si>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</si>
  <si>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</si>
  <si>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</si>
  <si>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</si>
  <si>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</si>
  <si>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S. Iaone / Li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</si>
  <si>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</si>
  <si>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</si>
  <si>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</si>
  <si>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</si>
  <si>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</si>
  <si>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</si>
  <si>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</si>
  <si>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</si>
  <si>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</si>
  <si>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</si>
  <si>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</si>
  <si>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</si>
  <si>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</si>
  <si>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</si>
  <si>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E. Anderson / Van de Merwe</t>
  </si>
  <si>
    <t>ZHONGHE_1</t>
  </si>
  <si>
    <t>ZHONGHE,中和區,中和</t>
  </si>
  <si>
    <t>0972576511</t>
  </si>
  <si>
    <t>ZHONGHE_2_E</t>
  </si>
  <si>
    <t>E. Hamilton DL / Rushton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</si>
  <si>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</si>
  <si>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</si>
  <si>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</si>
  <si>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</si>
  <si>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</si>
  <si>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</si>
  <si>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</si>
  <si>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</si>
  <si>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</si>
  <si>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</si>
  <si>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</si>
  <si>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</si>
  <si>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</si>
  <si>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</si>
  <si>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</si>
  <si>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</si>
  <si>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</si>
  <si>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</si>
  <si>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</si>
  <si>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</si>
  <si>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</si>
  <si>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</si>
  <si>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</si>
  <si>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</si>
  <si>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</si>
  <si>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</si>
  <si>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</si>
  <si>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</si>
  <si>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</si>
  <si>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</si>
  <si>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</si>
  <si>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</si>
  <si>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S. Kho / Miller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</si>
  <si>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</si>
  <si>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</si>
  <si>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</si>
  <si>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</si>
  <si>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</si>
  <si>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</si>
  <si>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</si>
  <si>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</si>
  <si>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</si>
  <si>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</si>
  <si>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</si>
  <si>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</si>
  <si>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</si>
  <si>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</si>
  <si>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</si>
  <si>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</si>
  <si>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</si>
  <si>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</si>
  <si>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</si>
  <si>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</si>
  <si>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</si>
  <si>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</si>
  <si>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</si>
  <si>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</si>
  <si>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</si>
  <si>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</si>
  <si>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</si>
  <si>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</si>
  <si>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</si>
  <si>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</si>
  <si>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</si>
  <si>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</si>
  <si>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</si>
  <si>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</si>
  <si>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</si>
  <si>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</si>
  <si>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</si>
  <si>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</si>
  <si>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</si>
  <si>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</si>
  <si>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</si>
  <si>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</si>
  <si>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</si>
  <si>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</si>
  <si>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</si>
  <si>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</si>
  <si>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</si>
  <si>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</si>
  <si>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</si>
  <si>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</si>
  <si>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</si>
  <si>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</si>
  <si>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</si>
  <si>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</si>
  <si>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</si>
  <si>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</si>
  <si>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</si>
  <si>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</si>
  <si>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</si>
  <si>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</si>
  <si>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</si>
  <si>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</si>
  <si>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</si>
  <si>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</si>
  <si>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</si>
  <si>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</si>
  <si>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</si>
  <si>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</si>
  <si>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</si>
  <si>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</si>
  <si>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</si>
  <si>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</si>
  <si>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</si>
  <si>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</si>
  <si>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</si>
  <si>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</si>
  <si>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</si>
  <si>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</si>
  <si>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</si>
  <si>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</si>
  <si>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</si>
  <si>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</si>
  <si>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</si>
  <si>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</si>
  <si>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</si>
  <si>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</si>
  <si>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</si>
  <si>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</si>
  <si>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</si>
  <si>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</si>
  <si>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</si>
  <si>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</si>
  <si>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</si>
  <si>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</si>
  <si>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</si>
  <si>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</si>
  <si>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</si>
  <si>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</si>
  <si>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</si>
  <si>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</si>
  <si>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</si>
  <si>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</si>
  <si>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</si>
  <si>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</si>
  <si>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</si>
  <si>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</si>
  <si>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</si>
  <si>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</si>
  <si>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</si>
  <si>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</si>
  <si>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</si>
  <si>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</si>
  <si>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</si>
  <si>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</si>
  <si>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</si>
  <si>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</si>
  <si>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</si>
  <si>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</si>
  <si>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</si>
  <si>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</si>
  <si>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</si>
  <si>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</si>
  <si>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</si>
  <si>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</si>
  <si>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</si>
  <si>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</si>
  <si>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</si>
  <si>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</si>
  <si>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</si>
  <si>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</si>
  <si>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</si>
  <si>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</si>
  <si>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</si>
  <si>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</si>
  <si>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</si>
  <si>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</si>
  <si>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</si>
  <si>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</si>
  <si>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</si>
  <si>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</si>
  <si>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</si>
  <si>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</si>
  <si>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</si>
  <si>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</si>
  <si>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</si>
  <si>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</si>
  <si>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</si>
  <si>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</si>
  <si>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</si>
  <si>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</si>
  <si>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</si>
  <si>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</si>
  <si>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</si>
  <si>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</si>
  <si>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</si>
  <si>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</si>
  <si>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</si>
  <si>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</si>
  <si>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</si>
  <si>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</si>
  <si>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</si>
  <si>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</si>
  <si>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</si>
  <si>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</si>
  <si>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</si>
  <si>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</si>
  <si>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</si>
  <si>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</si>
  <si>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</si>
  <si>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</si>
  <si>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</si>
  <si>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</si>
  <si>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</si>
  <si>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</si>
  <si>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</si>
  <si>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</si>
  <si>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</si>
  <si>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</si>
  <si>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</si>
  <si>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</si>
  <si>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</si>
  <si>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</si>
  <si>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</si>
  <si>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</si>
  <si>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</si>
  <si>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</si>
  <si>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</si>
  <si>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</si>
  <si>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</si>
  <si>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</si>
  <si>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</si>
  <si>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</si>
  <si>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</si>
  <si>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</si>
  <si>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</si>
  <si>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</si>
  <si>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</si>
  <si>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</si>
  <si>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</si>
  <si>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</si>
  <si>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</si>
  <si>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</si>
  <si>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S. Juarez / Maxwell STL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</si>
  <si>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</si>
  <si>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</si>
  <si>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</si>
  <si>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</si>
  <si>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</si>
  <si>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</si>
  <si>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</si>
  <si>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</si>
  <si>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</si>
  <si>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</si>
  <si>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</si>
  <si>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</si>
  <si>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</si>
  <si>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</si>
  <si>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</si>
  <si>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</si>
  <si>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</si>
  <si>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</si>
  <si>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</si>
  <si>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</si>
  <si>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</si>
  <si>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</si>
  <si>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</si>
  <si>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</si>
  <si>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</si>
  <si>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</si>
  <si>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</si>
  <si>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</si>
  <si>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</si>
  <si>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</si>
  <si>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</si>
  <si>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</si>
  <si>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</si>
  <si>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</si>
  <si>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</si>
  <si>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</si>
  <si>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</si>
  <si>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</si>
  <si>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</si>
  <si>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</si>
  <si>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</si>
  <si>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</si>
  <si>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</si>
  <si>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</si>
  <si>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</si>
  <si>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</si>
  <si>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</si>
  <si>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</si>
  <si>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</si>
  <si>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</si>
  <si>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</si>
  <si>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</si>
  <si>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</si>
  <si>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</si>
  <si>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</si>
  <si>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</si>
  <si>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</si>
  <si>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</si>
  <si>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</si>
  <si>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</si>
  <si>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</si>
  <si>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</si>
  <si>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</si>
  <si>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</si>
  <si>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</si>
  <si>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</si>
  <si>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</si>
  <si>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</si>
  <si>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</si>
  <si>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</si>
  <si>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</si>
  <si>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</si>
  <si>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</si>
  <si>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</si>
  <si>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</si>
  <si>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</si>
  <si>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</si>
  <si>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</si>
  <si>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</si>
  <si>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</si>
  <si>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</si>
  <si>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</si>
  <si>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</si>
  <si>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</si>
  <si>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</si>
  <si>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</si>
  <si>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</si>
  <si>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</si>
  <si>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</si>
  <si>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</si>
  <si>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</si>
  <si>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</si>
  <si>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</si>
  <si>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</si>
  <si>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</si>
  <si>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</si>
  <si>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</si>
  <si>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</si>
  <si>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</si>
  <si>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</si>
  <si>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</si>
  <si>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</si>
  <si>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</si>
  <si>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</si>
  <si>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</si>
  <si>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</si>
  <si>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</si>
  <si>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</si>
  <si>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</si>
  <si>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</si>
  <si>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</si>
  <si>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</si>
  <si>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</si>
  <si>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</si>
  <si>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</si>
  <si>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</si>
  <si>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</si>
  <si>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</si>
  <si>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</si>
  <si>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</si>
  <si>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</si>
  <si>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</si>
  <si>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</si>
  <si>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</si>
  <si>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</si>
  <si>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</si>
  <si>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</si>
  <si>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</si>
  <si>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</si>
  <si>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</si>
  <si>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</si>
  <si>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</si>
  <si>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</si>
  <si>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</si>
  <si>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</si>
  <si>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</si>
  <si>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</si>
  <si>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</si>
  <si>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</si>
  <si>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</si>
  <si>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</si>
  <si>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Jinhua S</t>
  </si>
  <si>
    <t>金華姐妹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</si>
  <si>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</si>
  <si>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</si>
  <si>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</si>
  <si>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</si>
  <si>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</si>
  <si>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</si>
  <si>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</si>
  <si>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</si>
  <si>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</si>
  <si>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</si>
  <si>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</si>
  <si>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</si>
  <si>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</si>
  <si>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</si>
  <si>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</si>
  <si>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</si>
  <si>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</si>
  <si>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</si>
  <si>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</si>
  <si>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</si>
  <si>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</si>
  <si>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</si>
  <si>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</si>
  <si>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</si>
  <si>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</si>
  <si>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</si>
  <si>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</si>
  <si>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</si>
  <si>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</si>
  <si>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</si>
  <si>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</si>
  <si>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</si>
  <si>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</si>
  <si>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</si>
  <si>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</si>
  <si>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</si>
  <si>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</si>
  <si>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</si>
  <si>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</si>
  <si>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</si>
  <si>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</si>
  <si>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</si>
  <si>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</si>
  <si>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</si>
  <si>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</si>
  <si>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</si>
  <si>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</si>
  <si>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</si>
  <si>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</si>
  <si>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</si>
  <si>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</si>
  <si>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</si>
  <si>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</si>
  <si>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</si>
  <si>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</si>
  <si>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</si>
  <si>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</si>
  <si>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</si>
  <si>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</si>
  <si>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</si>
  <si>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</si>
  <si>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</si>
  <si>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</si>
  <si>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</si>
  <si>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</si>
  <si>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</si>
  <si>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</si>
  <si>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</si>
  <si>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</si>
  <si>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</si>
  <si>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</si>
  <si>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</si>
  <si>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</si>
  <si>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</si>
  <si>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</si>
  <si>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</si>
  <si>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</si>
  <si>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</si>
  <si>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</si>
  <si>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</si>
  <si>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</si>
  <si>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</si>
  <si>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</si>
  <si>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</si>
  <si>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</si>
  <si>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</si>
  <si>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</si>
  <si>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</si>
  <si>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</si>
  <si>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</si>
  <si>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</si>
  <si>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</si>
  <si>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</si>
  <si>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</si>
  <si>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</si>
  <si>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</si>
  <si>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</si>
  <si>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</si>
  <si>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</si>
  <si>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</si>
  <si>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</si>
  <si>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</si>
  <si>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</si>
  <si>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</si>
  <si>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</si>
  <si>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</si>
  <si>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</si>
  <si>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</si>
  <si>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</si>
  <si>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</si>
  <si>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</si>
  <si>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</si>
  <si>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</si>
  <si>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</si>
  <si>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</si>
  <si>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</si>
  <si>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</si>
  <si>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</si>
  <si>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</si>
  <si>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</si>
  <si>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</si>
  <si>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</si>
  <si>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</si>
  <si>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</si>
  <si>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</si>
  <si>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中壢 1 長老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</si>
  <si>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</si>
  <si>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</si>
  <si>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</si>
  <si>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</si>
  <si>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</si>
  <si>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</si>
  <si>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</si>
  <si>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</si>
  <si>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</si>
  <si>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</si>
  <si>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</si>
  <si>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</si>
  <si>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</si>
  <si>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</si>
  <si>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</si>
  <si>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</si>
  <si>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</si>
  <si>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</si>
  <si>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</si>
  <si>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</si>
  <si>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</si>
  <si>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</si>
  <si>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</si>
  <si>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</si>
  <si>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</si>
  <si>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</si>
  <si>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</si>
  <si>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</si>
  <si>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</si>
  <si>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</si>
  <si>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</si>
  <si>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</si>
  <si>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</si>
  <si>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</si>
  <si>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</si>
  <si>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</si>
  <si>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</si>
  <si>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</si>
  <si>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</si>
  <si>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</si>
  <si>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</si>
  <si>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</si>
  <si>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</si>
  <si>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</si>
  <si>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</si>
  <si>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</si>
  <si>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</si>
  <si>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</si>
  <si>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</si>
  <si>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</si>
  <si>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</si>
  <si>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</si>
  <si>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</si>
  <si>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</si>
  <si>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</si>
  <si>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</si>
  <si>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</si>
  <si>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</si>
  <si>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</si>
  <si>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</si>
  <si>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</si>
  <si>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</si>
  <si>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</si>
  <si>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</si>
  <si>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</si>
  <si>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</si>
  <si>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</si>
  <si>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</si>
  <si>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</si>
  <si>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</si>
  <si>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</si>
  <si>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</si>
  <si>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</si>
  <si>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</si>
  <si>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</si>
  <si>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</si>
  <si>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</si>
  <si>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</si>
  <si>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</si>
  <si>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</si>
  <si>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</si>
  <si>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</si>
  <si>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</si>
  <si>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</si>
  <si>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</si>
  <si>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</si>
  <si>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</si>
  <si>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</si>
  <si>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</si>
  <si>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</si>
  <si>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</si>
  <si>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</si>
  <si>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</si>
  <si>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</si>
  <si>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</si>
  <si>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</si>
  <si>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</si>
  <si>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</si>
  <si>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</si>
  <si>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</si>
  <si>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</si>
  <si>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</si>
  <si>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</si>
  <si>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</si>
  <si>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</si>
  <si>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</si>
  <si>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</si>
  <si>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</si>
  <si>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</si>
  <si>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</si>
  <si>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</si>
  <si>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</si>
  <si>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</si>
  <si>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</si>
  <si>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</si>
  <si>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DAAN,NEW_TAIPEI,大安區,新北市,大安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</si>
  <si>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</si>
  <si>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</si>
  <si>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</si>
  <si>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</si>
  <si>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</si>
  <si>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</si>
  <si>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</si>
  <si>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</si>
  <si>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</si>
  <si>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</si>
  <si>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</si>
  <si>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</si>
  <si>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</si>
  <si>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</si>
  <si>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</si>
  <si>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</si>
  <si>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</si>
  <si>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</si>
  <si>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</si>
  <si>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</si>
  <si>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</si>
  <si>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</si>
  <si>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</si>
  <si>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</si>
  <si>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</si>
  <si>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</si>
  <si>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</si>
  <si>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</si>
  <si>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</si>
  <si>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</si>
  <si>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</si>
  <si>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</si>
  <si>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</si>
  <si>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</si>
  <si>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</si>
  <si>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</si>
  <si>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</si>
  <si>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</si>
  <si>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</si>
  <si>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</si>
  <si>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</si>
  <si>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</si>
  <si>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</si>
  <si>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</si>
  <si>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</si>
  <si>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</si>
  <si>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</si>
  <si>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</si>
  <si>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</si>
  <si>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</si>
  <si>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</si>
  <si>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</si>
  <si>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</si>
  <si>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</si>
  <si>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</si>
  <si>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</si>
  <si>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</si>
  <si>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</si>
  <si>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</si>
  <si>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</si>
  <si>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</si>
  <si>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</si>
  <si>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</si>
  <si>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</si>
  <si>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</si>
  <si>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</si>
  <si>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</si>
  <si>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</si>
  <si>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</si>
  <si>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</si>
  <si>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</si>
  <si>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</si>
  <si>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</si>
  <si>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</si>
  <si>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</si>
  <si>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</si>
  <si>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</si>
  <si>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</si>
  <si>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</si>
  <si>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</si>
  <si>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</si>
  <si>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</si>
  <si>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</si>
  <si>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</si>
  <si>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</si>
  <si>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</si>
  <si>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</si>
  <si>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</si>
  <si>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</si>
  <si>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</si>
  <si>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</si>
  <si>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</si>
  <si>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</si>
  <si>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</si>
  <si>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</si>
  <si>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</si>
  <si>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</si>
  <si>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</si>
  <si>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</si>
  <si>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</si>
  <si>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</si>
  <si>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</si>
  <si>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</si>
  <si>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</si>
  <si>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</si>
  <si>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</si>
  <si>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</si>
  <si>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</si>
  <si>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</si>
  <si>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</si>
  <si>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</si>
  <si>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</si>
  <si>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</si>
  <si>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</si>
  <si>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</si>
  <si>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</si>
  <si>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</si>
  <si>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</si>
  <si>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</si>
  <si>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</si>
  <si>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</si>
  <si>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</si>
  <si>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</si>
  <si>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</si>
  <si>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</si>
  <si>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</si>
  <si>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</si>
  <si>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</si>
  <si>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</si>
  <si>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</si>
  <si>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</si>
  <si>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</si>
  <si>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</si>
  <si>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</si>
  <si>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</si>
  <si>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</si>
  <si>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</si>
  <si>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</si>
  <si>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</si>
  <si>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</si>
  <si>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</si>
  <si>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</si>
  <si>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</si>
  <si>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</si>
  <si>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</si>
  <si>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</si>
  <si>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</si>
  <si>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</si>
  <si>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</si>
  <si>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</si>
  <si>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</si>
  <si>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</si>
  <si>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</si>
  <si>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</si>
  <si>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</si>
  <si>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</si>
  <si>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</si>
  <si>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</si>
  <si>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</si>
  <si>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</si>
  <si>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</si>
  <si>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</si>
  <si>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</si>
  <si>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</si>
  <si>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</si>
  <si>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</si>
  <si>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</si>
  <si>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</si>
  <si>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</si>
  <si>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</si>
  <si>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</si>
  <si>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</si>
  <si>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</si>
  <si>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</si>
  <si>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</si>
  <si>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</si>
  <si>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</si>
  <si>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</si>
  <si>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</si>
  <si>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</si>
  <si>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</si>
  <si>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</si>
  <si>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</si>
  <si>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</si>
  <si>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</si>
  <si>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</si>
  <si>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</si>
  <si>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</si>
  <si>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</si>
  <si>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Roe / Liston AP</t>
  </si>
  <si>
    <t>E. Welker DL / Tan</t>
  </si>
  <si>
    <t>S. Bain / Brinkerhoff</t>
  </si>
  <si>
    <t>E. Dixon DL / Facer</t>
  </si>
  <si>
    <t>E. Jackson DL / Okeson</t>
  </si>
  <si>
    <t>E. Francis / Coletti</t>
  </si>
  <si>
    <t>S. LeFevre / Fenlaw STL</t>
  </si>
  <si>
    <t>E. Miller DL / Perkins</t>
  </si>
  <si>
    <t>S. Bowman / Tinsley</t>
  </si>
  <si>
    <t>E. Brinton / Jen</t>
  </si>
  <si>
    <t>E. Taylor DL / Andelin</t>
  </si>
  <si>
    <t>S. Huntington / Erickson</t>
  </si>
  <si>
    <t>E. Hansen / Zhou ZL</t>
  </si>
  <si>
    <t>E. Jacobson / Petermann</t>
  </si>
  <si>
    <t>E. Welch DL / Fitzpatrick</t>
  </si>
  <si>
    <t>E. Iverson / Seely</t>
  </si>
  <si>
    <t>E. Loke / Rasmussen</t>
  </si>
  <si>
    <t>E. Anderton EL / King DL</t>
  </si>
  <si>
    <t>E. Hu DL / Nielson</t>
  </si>
  <si>
    <t>E. Dung DL / Sessions</t>
  </si>
  <si>
    <t>E. Bezzant / McPherson</t>
  </si>
  <si>
    <t>S. Gabbitas / Yee</t>
  </si>
  <si>
    <t>E. Elliott OA / Smith RE</t>
  </si>
  <si>
    <t>E. Luther / Smith</t>
  </si>
  <si>
    <t>E. Roberts / Wong</t>
  </si>
  <si>
    <t>E. Ploeg / Reintjes</t>
  </si>
  <si>
    <t>S. Hsiao / Li</t>
  </si>
  <si>
    <t>E. Aiono / Hammond ZL</t>
  </si>
  <si>
    <t>E. Tang / Heaps</t>
  </si>
  <si>
    <t>S. Torres Ortiz / Kitchens STL</t>
  </si>
  <si>
    <t>E. Tan / Matua ZL</t>
  </si>
  <si>
    <t>S. Hadley / Althoff</t>
  </si>
  <si>
    <t>S. Chan / Hickenlooper</t>
  </si>
  <si>
    <t>E. Nixon / Wayment ZL</t>
  </si>
  <si>
    <t>E. Lin DL / Butler</t>
  </si>
  <si>
    <t>E. Pincock / Chuang</t>
  </si>
  <si>
    <t>S. Denison / Apsley</t>
  </si>
  <si>
    <t>E. Young / Landes</t>
  </si>
  <si>
    <t>E. Barton / Clawson ZL</t>
  </si>
  <si>
    <t>E. Alder DL / Omer</t>
  </si>
  <si>
    <t>E. Chia DL / Simonson</t>
  </si>
  <si>
    <t>E. Bellingham / Liao</t>
  </si>
  <si>
    <t>S. Guan / Cullen</t>
  </si>
  <si>
    <t>S. Johnson / Davis</t>
  </si>
  <si>
    <t>E. Ribar / Stephens ZL</t>
  </si>
  <si>
    <t>E. Lin DL / Holloway</t>
  </si>
  <si>
    <t>E. Diepeveen DL / Jensen</t>
  </si>
  <si>
    <t>S. Sylvester / Hickman</t>
  </si>
  <si>
    <t>E. Robbins DL / Robinson</t>
  </si>
  <si>
    <t>E. Sumsion / Mertz</t>
  </si>
  <si>
    <t>S. Nau / Xie</t>
  </si>
  <si>
    <t>E. Stevenson / Bagley</t>
  </si>
  <si>
    <t>E. Merrell DL / Leonhardt</t>
  </si>
  <si>
    <t>S. Johnson / Child STL</t>
  </si>
  <si>
    <t>E. Davidson / Scovel ZL</t>
  </si>
  <si>
    <t>E. Falck DL / Jensen</t>
  </si>
  <si>
    <t>S. Beeston / Coleman STL</t>
  </si>
  <si>
    <t>E. Gwilliam DL / Johnson</t>
  </si>
  <si>
    <t>S. Parkin / Bradley</t>
  </si>
  <si>
    <t>S. Westover / Goo</t>
  </si>
  <si>
    <t>E. Magness / Lloyd</t>
  </si>
  <si>
    <t>E. Seamons DL / Clark</t>
  </si>
  <si>
    <t>E. Hsiao DL / McNeil</t>
  </si>
  <si>
    <t>E. Hawkes / James</t>
  </si>
  <si>
    <t>S. Meyers / Toronto</t>
  </si>
  <si>
    <t>E. Wadsworth DL / Wu</t>
  </si>
  <si>
    <t>S. Haupt / Zang / Hsiao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</si>
  <si>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</si>
  <si>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</si>
  <si>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</si>
  <si>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</si>
  <si>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</si>
  <si>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</si>
  <si>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</si>
  <si>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</si>
  <si>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</si>
  <si>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</si>
  <si>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</si>
  <si>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</si>
  <si>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</si>
  <si>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</si>
  <si>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</si>
  <si>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</si>
  <si>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</si>
  <si>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</si>
  <si>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</si>
  <si>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</si>
  <si>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</si>
  <si>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</si>
  <si>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</si>
  <si>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</si>
  <si>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</si>
  <si>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</si>
  <si>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</si>
  <si>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</si>
  <si>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</si>
  <si>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</si>
  <si>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</si>
  <si>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</si>
  <si>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</si>
  <si>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</si>
  <si>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</si>
  <si>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</si>
  <si>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</si>
  <si>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</si>
  <si>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</si>
  <si>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</si>
  <si>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</si>
  <si>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</si>
  <si>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</si>
  <si>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</si>
  <si>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</si>
  <si>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</si>
  <si>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</si>
  <si>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</si>
  <si>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</si>
  <si>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</si>
  <si>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</si>
  <si>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</si>
  <si>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</si>
  <si>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</si>
  <si>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</si>
  <si>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</si>
  <si>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</si>
  <si>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</si>
  <si>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</si>
  <si>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</si>
  <si>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</si>
  <si>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</si>
  <si>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</si>
  <si>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</si>
  <si>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</si>
  <si>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</si>
  <si>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</si>
  <si>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</si>
  <si>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</si>
  <si>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</si>
  <si>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</si>
  <si>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</si>
  <si>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</si>
  <si>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</si>
  <si>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</si>
  <si>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</si>
  <si>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</si>
  <si>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</si>
  <si>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</si>
  <si>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</si>
  <si>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</si>
  <si>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</si>
  <si>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</si>
  <si>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</si>
  <si>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</si>
  <si>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</si>
  <si>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</si>
  <si>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</si>
  <si>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</si>
  <si>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</si>
  <si>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</si>
  <si>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</si>
  <si>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</si>
  <si>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</si>
  <si>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</si>
  <si>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</si>
  <si>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</si>
  <si>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</si>
  <si>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</si>
  <si>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</si>
  <si>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</si>
  <si>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</si>
  <si>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</si>
  <si>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</si>
  <si>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</si>
  <si>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</si>
  <si>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</si>
  <si>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</si>
  <si>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</si>
  <si>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</si>
  <si>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</si>
  <si>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</si>
  <si>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</si>
  <si>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</si>
  <si>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Date</t>
  </si>
  <si>
    <t>REPORT_DATA_BY_COMP!</t>
  </si>
  <si>
    <t>REPORT_DATA_BY_COMP_MONTH!</t>
  </si>
  <si>
    <t>BAPTISM_SOURCE_BY_COMP_MONTH!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</si>
  <si>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</si>
  <si>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</si>
  <si>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</si>
  <si>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</si>
  <si>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</si>
  <si>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</si>
  <si>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</si>
  <si>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</si>
  <si>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</si>
  <si>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</si>
  <si>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</si>
  <si>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</si>
  <si>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</si>
  <si>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</si>
  <si>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</si>
  <si>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</si>
  <si>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</si>
  <si>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</si>
  <si>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</si>
  <si>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</si>
  <si>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</si>
  <si>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</si>
  <si>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</si>
  <si>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</si>
  <si>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</si>
  <si>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</si>
  <si>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</si>
  <si>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</si>
  <si>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</si>
  <si>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</si>
  <si>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</si>
  <si>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</si>
  <si>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</si>
  <si>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</si>
  <si>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</si>
  <si>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</si>
  <si>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</si>
  <si>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</si>
  <si>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</si>
  <si>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</si>
  <si>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</si>
  <si>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</si>
  <si>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</si>
  <si>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</si>
  <si>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</si>
  <si>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</si>
  <si>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</si>
  <si>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</si>
  <si>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</si>
  <si>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</si>
  <si>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</si>
  <si>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</si>
  <si>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</si>
  <si>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</si>
  <si>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</si>
  <si>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</si>
  <si>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</si>
  <si>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</si>
  <si>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</si>
  <si>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</si>
  <si>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</si>
  <si>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</si>
  <si>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</si>
  <si>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</si>
  <si>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</si>
  <si>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</si>
  <si>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</si>
  <si>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</si>
  <si>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</si>
  <si>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</si>
  <si>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</si>
  <si>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</si>
  <si>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</si>
  <si>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</si>
  <si>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</si>
  <si>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</si>
  <si>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</si>
  <si>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</si>
  <si>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</si>
  <si>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</si>
  <si>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</si>
  <si>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</si>
  <si>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</si>
  <si>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</si>
  <si>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</si>
  <si>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</si>
  <si>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</si>
  <si>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</si>
  <si>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</si>
  <si>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</si>
  <si>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</si>
  <si>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</si>
  <si>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</si>
  <si>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</si>
  <si>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</si>
  <si>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</si>
  <si>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</si>
  <si>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</si>
  <si>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</si>
  <si>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</si>
  <si>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</si>
  <si>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</si>
  <si>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</si>
  <si>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</si>
  <si>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</si>
  <si>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</si>
  <si>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</si>
  <si>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</si>
  <si>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</si>
  <si>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</si>
  <si>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</si>
  <si>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</si>
  <si>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</si>
  <si>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</si>
  <si>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</si>
  <si>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</si>
  <si>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</si>
  <si>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</si>
  <si>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</si>
  <si>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</si>
  <si>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</si>
  <si>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</si>
  <si>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</si>
  <si>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</si>
  <si>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</si>
  <si>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</si>
  <si>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</si>
  <si>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</si>
  <si>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</si>
  <si>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</si>
  <si>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</si>
  <si>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</si>
  <si>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</si>
  <si>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</si>
  <si>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</si>
  <si>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</si>
  <si>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</si>
  <si>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</si>
  <si>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</si>
  <si>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</si>
  <si>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</si>
  <si>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</si>
  <si>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</si>
  <si>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</si>
  <si>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</si>
  <si>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</si>
  <si>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</si>
  <si>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</si>
  <si>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</si>
  <si>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</si>
  <si>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</si>
  <si>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</si>
  <si>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</si>
  <si>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</si>
  <si>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</si>
  <si>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</si>
  <si>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</si>
  <si>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</si>
  <si>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</si>
  <si>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</si>
  <si>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</si>
  <si>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</si>
  <si>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</si>
  <si>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</si>
  <si>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</si>
  <si>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</si>
  <si>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</si>
  <si>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</si>
  <si>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</si>
  <si>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</si>
  <si>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</si>
  <si>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</si>
  <si>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</si>
  <si>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</si>
  <si>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</si>
  <si>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</si>
  <si>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</si>
  <si>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</si>
  <si>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</si>
  <si>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</si>
  <si>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</si>
  <si>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</si>
  <si>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</si>
  <si>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</si>
  <si>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</si>
  <si>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</si>
  <si>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</si>
  <si>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</si>
  <si>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</si>
  <si>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</si>
  <si>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</si>
  <si>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</si>
  <si>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</si>
  <si>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</si>
  <si>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</si>
  <si>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</si>
  <si>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</si>
  <si>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</si>
  <si>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</si>
  <si>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</si>
  <si>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</si>
  <si>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</si>
  <si>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</si>
  <si>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</si>
  <si>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</si>
  <si>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</si>
  <si>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</si>
  <si>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</si>
  <si>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</si>
  <si>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</si>
  <si>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</si>
  <si>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</si>
  <si>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</si>
  <si>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</si>
  <si>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</si>
  <si>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</si>
  <si>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</si>
  <si>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</si>
  <si>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</si>
  <si>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</si>
  <si>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</si>
  <si>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</si>
  <si>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</si>
  <si>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</si>
  <si>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</si>
  <si>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</si>
  <si>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</si>
  <si>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</si>
  <si>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</si>
  <si>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</si>
  <si>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</si>
  <si>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</si>
  <si>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</si>
  <si>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</si>
  <si>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</si>
  <si>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</si>
  <si>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</si>
  <si>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</si>
  <si>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</si>
  <si>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</si>
  <si>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</si>
  <si>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</si>
  <si>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</si>
  <si>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</si>
  <si>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</si>
  <si>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</si>
  <si>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</si>
  <si>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</si>
  <si>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</si>
  <si>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</si>
  <si>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</si>
  <si>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</si>
  <si>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</si>
  <si>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</si>
  <si>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</si>
  <si>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</si>
  <si>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</si>
  <si>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</si>
  <si>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</si>
  <si>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</si>
  <si>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</si>
  <si>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</si>
  <si>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</si>
  <si>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</si>
  <si>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</si>
  <si>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</si>
  <si>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</si>
  <si>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</si>
  <si>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</si>
  <si>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</si>
  <si>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</si>
  <si>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</si>
  <si>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</si>
  <si>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</si>
  <si>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</si>
  <si>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</si>
  <si>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</si>
  <si>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</si>
  <si>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</si>
  <si>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</si>
  <si>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</si>
  <si>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</si>
  <si>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</si>
  <si>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</si>
  <si>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</si>
  <si>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</si>
  <si>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</si>
  <si>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</si>
  <si>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</si>
  <si>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</si>
  <si>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</si>
  <si>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</si>
  <si>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</si>
  <si>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</si>
  <si>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</si>
  <si>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</si>
  <si>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</si>
  <si>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</si>
  <si>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</si>
  <si>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</si>
  <si>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</si>
  <si>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</si>
  <si>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</si>
  <si>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</si>
  <si>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</si>
  <si>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</si>
  <si>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</si>
  <si>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</si>
  <si>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</si>
  <si>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</si>
  <si>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</si>
  <si>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</si>
  <si>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</si>
  <si>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</si>
  <si>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</si>
  <si>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</si>
  <si>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</si>
  <si>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</si>
  <si>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</si>
  <si>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</si>
  <si>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</si>
  <si>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</si>
  <si>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</si>
  <si>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</si>
  <si>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</si>
  <si>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</si>
  <si>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</si>
  <si>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</si>
  <si>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</si>
  <si>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</si>
  <si>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</si>
  <si>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</si>
  <si>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</si>
  <si>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</si>
  <si>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</si>
  <si>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</si>
  <si>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</si>
  <si>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</si>
  <si>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</si>
  <si>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</si>
  <si>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</si>
  <si>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</si>
  <si>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</si>
  <si>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</si>
  <si>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</si>
  <si>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</si>
  <si>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</si>
  <si>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</si>
  <si>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</si>
  <si>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</si>
  <si>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</si>
  <si>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</si>
  <si>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</si>
  <si>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</si>
  <si>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</si>
  <si>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</si>
  <si>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</si>
  <si>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</si>
  <si>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</si>
  <si>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</si>
  <si>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</si>
  <si>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</si>
  <si>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</si>
  <si>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</si>
  <si>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</si>
  <si>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</si>
  <si>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</si>
  <si>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</si>
  <si>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</si>
  <si>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</si>
  <si>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</si>
  <si>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</si>
  <si>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</si>
  <si>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</si>
  <si>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</si>
  <si>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</si>
  <si>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</si>
  <si>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</si>
  <si>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</si>
  <si>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</si>
  <si>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</si>
  <si>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</si>
  <si>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</si>
  <si>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</si>
  <si>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</si>
  <si>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</si>
  <si>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</si>
  <si>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</si>
  <si>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</si>
  <si>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</si>
  <si>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</si>
  <si>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</si>
  <si>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</si>
  <si>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</si>
  <si>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</si>
  <si>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</si>
  <si>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</si>
  <si>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</si>
  <si>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</si>
  <si>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</si>
  <si>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</si>
  <si>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</si>
  <si>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</si>
  <si>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</si>
  <si>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</si>
  <si>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</si>
  <si>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</si>
  <si>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</si>
  <si>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</si>
  <si>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</si>
  <si>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</si>
  <si>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</si>
  <si>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</si>
  <si>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</si>
  <si>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</si>
  <si>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</si>
  <si>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</si>
  <si>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</si>
  <si>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</si>
  <si>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</si>
  <si>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</si>
  <si>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</si>
  <si>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</si>
  <si>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</si>
  <si>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</si>
  <si>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</si>
  <si>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</si>
  <si>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</si>
  <si>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</si>
  <si>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</si>
  <si>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</si>
  <si>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</si>
  <si>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</si>
  <si>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</si>
  <si>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</si>
  <si>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</si>
  <si>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</si>
  <si>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</si>
  <si>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</si>
  <si>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</si>
  <si>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</si>
  <si>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</si>
  <si>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</si>
  <si>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</si>
  <si>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</si>
  <si>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</si>
  <si>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</si>
  <si>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</si>
  <si>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</si>
  <si>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</si>
  <si>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</si>
  <si>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</si>
  <si>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</si>
  <si>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</si>
  <si>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</si>
  <si>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</si>
  <si>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</si>
  <si>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</si>
  <si>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</si>
  <si>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</si>
  <si>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</si>
  <si>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</si>
  <si>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</si>
  <si>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</si>
  <si>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</si>
  <si>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</si>
  <si>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</si>
  <si>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</si>
  <si>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</si>
  <si>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</si>
  <si>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</si>
  <si>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</si>
  <si>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</si>
  <si>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</si>
  <si>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</si>
  <si>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</si>
  <si>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</si>
  <si>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</si>
  <si>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</si>
  <si>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</si>
  <si>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</si>
  <si>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</si>
  <si>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</si>
  <si>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</si>
  <si>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</si>
  <si>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</si>
  <si>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</si>
  <si>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</si>
  <si>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</si>
  <si>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</si>
  <si>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</si>
  <si>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</si>
  <si>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</si>
  <si>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</si>
  <si>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</si>
  <si>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</si>
  <si>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</si>
  <si>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</si>
  <si>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</si>
  <si>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</si>
  <si>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</si>
  <si>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</si>
  <si>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</si>
  <si>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</si>
  <si>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</si>
  <si>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</si>
  <si>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</si>
  <si>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</si>
  <si>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</si>
  <si>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</si>
  <si>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</si>
  <si>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</si>
  <si>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</si>
  <si>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</si>
  <si>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</si>
  <si>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</si>
  <si>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</si>
  <si>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</si>
  <si>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</si>
  <si>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</si>
  <si>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</si>
  <si>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</si>
  <si>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</si>
  <si>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</si>
  <si>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</si>
  <si>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</si>
  <si>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</si>
  <si>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</si>
  <si>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</si>
  <si>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</si>
  <si>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</si>
  <si>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</si>
  <si>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</si>
  <si>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</si>
  <si>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</si>
  <si>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</si>
  <si>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</si>
  <si>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</si>
  <si>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</si>
  <si>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</si>
  <si>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</si>
  <si>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</si>
  <si>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</si>
  <si>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</si>
  <si>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</si>
  <si>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</si>
  <si>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</si>
  <si>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</si>
  <si>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</si>
  <si>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</si>
  <si>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</si>
  <si>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</si>
  <si>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</si>
  <si>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</si>
  <si>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</si>
  <si>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</si>
  <si>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</si>
  <si>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</si>
  <si>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</si>
  <si>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</si>
  <si>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</si>
  <si>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</si>
  <si>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</si>
  <si>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</si>
  <si>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</si>
  <si>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</si>
  <si>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</si>
  <si>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</si>
  <si>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</si>
  <si>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</si>
  <si>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</si>
  <si>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</si>
  <si>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</si>
  <si>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</si>
  <si>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</si>
  <si>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</si>
  <si>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</si>
  <si>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</si>
  <si>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</si>
  <si>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</si>
  <si>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</si>
  <si>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</si>
  <si>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</si>
  <si>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</si>
  <si>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</si>
  <si>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</si>
  <si>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</si>
  <si>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</si>
  <si>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</si>
  <si>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</si>
  <si>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</si>
  <si>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</si>
  <si>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</si>
  <si>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</si>
  <si>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</si>
  <si>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</si>
  <si>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</si>
  <si>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</si>
  <si>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</si>
  <si>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</si>
  <si>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</si>
  <si>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</si>
  <si>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</si>
  <si>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</si>
  <si>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</si>
  <si>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</si>
  <si>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</si>
  <si>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</si>
  <si>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</si>
  <si>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</si>
  <si>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</si>
  <si>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</si>
  <si>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</si>
  <si>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</si>
  <si>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</si>
  <si>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</si>
  <si>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</si>
  <si>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</si>
  <si>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</si>
  <si>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</si>
  <si>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</si>
  <si>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</si>
  <si>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</si>
  <si>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</si>
  <si>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</si>
  <si>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</si>
  <si>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</si>
  <si>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</si>
  <si>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</si>
  <si>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</si>
  <si>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</si>
  <si>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</si>
  <si>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</si>
  <si>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</si>
  <si>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</si>
  <si>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</si>
  <si>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</si>
  <si>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</si>
  <si>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</si>
  <si>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</si>
  <si>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</si>
  <si>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</si>
  <si>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</si>
  <si>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</si>
  <si>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</si>
  <si>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</si>
  <si>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</si>
  <si>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</si>
  <si>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</si>
  <si>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</si>
  <si>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</si>
  <si>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</si>
  <si>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</si>
  <si>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</si>
  <si>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</si>
  <si>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</si>
  <si>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</si>
  <si>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</si>
  <si>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</si>
  <si>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</si>
  <si>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</si>
  <si>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</si>
  <si>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</si>
  <si>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</si>
  <si>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</si>
  <si>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</si>
  <si>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</si>
  <si>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</si>
  <si>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</si>
  <si>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</si>
  <si>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</si>
  <si>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</si>
  <si>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</si>
  <si>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</si>
  <si>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</si>
  <si>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</si>
  <si>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</si>
  <si>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</si>
  <si>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</si>
  <si>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</si>
  <si>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</si>
  <si>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</si>
  <si>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</si>
  <si>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</si>
  <si>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</si>
  <si>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</si>
  <si>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</si>
  <si>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</si>
  <si>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</si>
  <si>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</si>
  <si>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</si>
  <si>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</si>
  <si>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</si>
  <si>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</si>
  <si>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</si>
  <si>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</si>
  <si>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</si>
  <si>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</si>
  <si>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</si>
  <si>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</si>
  <si>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</si>
  <si>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</si>
  <si>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</si>
  <si>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</si>
  <si>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</si>
  <si>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</si>
  <si>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</si>
  <si>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</si>
  <si>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</si>
  <si>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</si>
  <si>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</si>
  <si>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</si>
  <si>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</si>
  <si>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</si>
  <si>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</si>
  <si>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</si>
  <si>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</si>
  <si>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</si>
  <si>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</si>
  <si>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</si>
  <si>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</si>
  <si>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</si>
  <si>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</si>
  <si>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</si>
  <si>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</si>
  <si>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</si>
  <si>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</si>
  <si>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</si>
  <si>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</si>
  <si>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</si>
  <si>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</si>
  <si>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</si>
  <si>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</si>
  <si>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</si>
  <si>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</si>
  <si>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</si>
  <si>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</si>
  <si>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</si>
  <si>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</si>
  <si>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</si>
  <si>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</si>
  <si>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</si>
  <si>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</si>
  <si>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</si>
  <si>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</si>
  <si>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</si>
  <si>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</si>
  <si>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</si>
  <si>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</si>
  <si>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DATONG,大同區,大同,ENGLISH_WARD,ENGLISH,ENGLISHWARD,英文,英文支會,WANDA,萬大,萬大區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</si>
  <si>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</si>
  <si>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</si>
  <si>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</si>
  <si>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ANONYMOUS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</si>
  <si>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AN,MEINONG,LIUGUI,JIAXIAN,SHANLIN,NEIMEN,MAOLIN,GAOXIONG_TAOYUAN,NAMAXIA,JIAYI,TAIBAO,PUZI,BUDAI,DALIN,MINXIONG,XIKOU,XINGANG,LIUJIAO,JIAYI_DONGSHI,YIZHU,LUCAO,SHUISHANG,ZHONGPU,ZHUQI,MEISHAN,FANLU,DAPU,ALISHAN,NANTOU,NANTOU_CITY,PULI,CAOTUN,ZHUSHAN,JIJI,MINGJIAN,LUGU,ZHONGLIAO,YUCHI,GUOXING,SHUILI,NANYOU_XINYI,NANYOU_RENAI,PENGHU,MAGONG,HUXI,BAISHA,XIYU,WANGAN,QIMEI,PINGDONG,PINGDONG_CITY,CHAZHOU,DONGANG,DONGGANG,HENGCHUN,WANDAN,CHANGZHI,LINLUO,JIURU,LIGANG,YANPU,GAOSHU,WANLUAN,NEIPU,ZHUTIAN,XINPI,FANGLIAO,XINYUAN,KANDING,LINBIAN,NANZHOU,JIADONG,LIUQIU,CHECHENG,MANZHOU,FANGSHAN,SANDIMEN,WUTAI,MAJIA,TAIWU,LAIYI,CHUNRI,SHIZI,MUDAN,TAINAN,XINYING,YANSHUI,BAIHE,LIUYING,HOUBI,DONGSHAN,MADOU,XIAYING,LIUJIA,GUANTIAN,DANEI,JIALI,XUEJIA,XIGANG,QIGU,JIANGJUN,BEIMEN,XINHUA,SHANHUA,XINSHI,ANDING,SHANSHANGQU,YUJING,NANXI,NANHUA,ZUOZHEN,RENDE,GUIREN,GUANMIAO,LONGQI,YONGKANG,TAINAN_EAST,TAINAN_SOUTH,TAINAN_NORTH,ANNAN,ANPING,WEST_CENTRAL,TAIZHONG,NANTUN,BEITUN,FENGYUAN,TAIZHONG_DONGSHI,DAJIA,QINGSHUI,SHALU,WUQI,HOULI,SHENGANG,TANZI,DAYA,XINSHE,SHIGANG,WAIPU,TAIZHONG_DAAN,WURI,DADU,LONGJING,WUFENG,TAIPING,DALI,HEPING,TAIZHONG_WEST,TAIZHONG_EAST,XITUN,TAIZHONG_CENTRAL,TAIZHONG_NORTH,TAIZHONG_SOUTH,YUNLIN,DOULIU,DOUNAN,HUWEI,XILUO,TUKU,BEIGANG,GUKENG,DAPI,CITONG,LINNEI,ERLUN,LUNBEI,MAILIAO,YULIN_DONGSHI,BAOZHONG,TAIXI,YUANCHANG,SIHU,KOUHU,SHUILIN,ZHANGHUA,ZHANGHUA_CITY,YUANLIN,LUGANG,HEMEI,BEIDOU,ZHANGHUA_XIHU,TIANZHONG,ERLIN,XIANXI,SHENGANG,ZHANGHUA_FUXING,XIUSHUI,HUATAN,FENYUAN,DACUN,PUYAN,PUXIN,YONGJING,SHETOU,ERSHUI,TIANWEI,PITOU,FANGYUAN,DACHENG,ZHUTANG,XIZHOU,高雄,高雄市,鹽埕區,鼓山區,左營區,楠梓區,三民區,新興區,前金區,苓雅區,前鎮區,旗津區,小港區,鳳山區,林園區,大寮區,大樹區,大社區,仁武區,鳥松區,岡山區,橋頭區,燕巢區,田寮區,阿蓮區,路竹區,湖內區,茄萣區,永安區,彌陀區,梓官區,旗山區,美濃區,六龜區,甲仙區,杉林區,內門區,茂林區,桃源區,那瑪夏區,嘉義,太保市,朴子市,布袋鎮,大林鎮,民雄鄉,溪口鄉,新港鄉,六腳鄉,東石鄉,義竹鄉,鹿草鄉,水上鄉,中埔鄉,竹崎鄉,梅山鄉,番路鄉,大埔鄉,阿里山鄉,南投,南投市,埔里鎮,草屯鎮,竹山鎮,集集鎮,名間鄉,鹿谷鄉,中寮鄉,魚池鄉,國姓鄉,水里鄉,信義鄉,仁愛鄉,澎湖,馬公市,湖西鄉,白沙鄉,西嶼鄉,望安鄉,七美鄉,屏東,屏東市,潮州鎮,東港鎮,恆春鎮,萬丹鄉,長治鄉,麟洛鄉,九如鄉,里港鄉,鹽埔鄉,高樹鄉,萬巒鄉,內埔鄉,竹田鄉,新埤鄉,枋寮鄉,新園鄉,崁頂鄉,林邊鄉,南州鄉,佳冬鄉,琉球鄉,車城鄉,滿州鄉,枋山鄉,三地門鄉,霧臺鄉,瑪家鄉,泰武鄉,來義鄉,春日鄉,獅子鄉,牡丹鄉,台南,臺南,新營區,鹽水區,白河區,柳營區,後壁區,東山區,麻豆區,下營區,六甲區,官田區,大內區,佳里區,學甲區,西港區,七股區,將軍區,北門區,新化區,善化區,新市區,安定區,山上區,玉井區,楠西區,南化區,左鎮區,仁德區,歸仁區,關廟區,龍崎區,永康區,台南東區,臺南東區,台南南區,臺南南區,台南北區,臺南北區,安南區,安平區,中西區,台中,臺中,南屯區,北屯區,豐原區,東勢區,大甲區,清水區,沙鹿區,梧棲區,后里區,神岡區,潭子區,大雅區,新社區,石岡區,外埔區,台中大安區,臺中大安區,烏日區,大肚區,龍井區,霧峰區,太平區,大里區,和平區,台中西區,臺中西區,台中東區,臺中東區,西屯區,台中中區,臺中中區,台中北區,臺中北區,台中南區,臺中南區,雲林,斗六市,斗南鎮,虎尾鎮,西螺鎮,土庫鎮,北港鎮,古坑鄉,大埤鄉,莿桐鄉,林內鄉,二崙鄉,崙背鄉,麥寮鄉,東勢鄉,褒忠鄉,臺西鄉,元長鄉,四湖鄉,口湖鄉,水林鄉,彰化,彰化市,員林市,鹿港鎮,和美鎮,北斗鎮,溪湖鎮,田中鎮,二林鎮,線西鄉,伸港鄉,彰化福興鄉,秀水鄉,花壇鄉,芬園鄉,大村鄉,埔鹽鄉,埔心鄉,永靖鄉,社頭鄉,二水鄉,田尾鄉,埤頭鄉,芳苑鄉,大城鄉,竹塘鄉,溪州鄉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</si>
  <si>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</si>
  <si>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</si>
  <si>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</si>
  <si>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</si>
  <si>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</si>
  <si>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</si>
  <si>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</si>
  <si>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FILENAME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</si>
  <si>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</si>
  <si>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</si>
  <si>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</si>
  <si>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</si>
  <si>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</si>
  <si>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</si>
  <si>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</si>
  <si>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</si>
  <si>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</si>
  <si>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</si>
  <si>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</si>
  <si>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</si>
  <si>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</si>
  <si>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</si>
  <si>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</si>
  <si>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</si>
  <si>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</si>
  <si>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</si>
  <si>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</si>
  <si>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</si>
  <si>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</si>
  <si>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</si>
  <si>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</si>
  <si>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</si>
  <si>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</si>
  <si>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</si>
  <si>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</si>
  <si>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</si>
  <si>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</si>
  <si>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</si>
  <si>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</si>
  <si>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</si>
  <si>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</si>
  <si>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</si>
  <si>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</si>
  <si>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</si>
  <si>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</si>
  <si>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</si>
  <si>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</si>
  <si>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</si>
  <si>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</si>
  <si>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</si>
  <si>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</si>
  <si>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</si>
  <si>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</si>
  <si>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</si>
  <si>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</si>
  <si>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</si>
  <si>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</si>
  <si>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</si>
  <si>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</si>
  <si>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</si>
  <si>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</si>
  <si>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</si>
  <si>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</si>
  <si>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</si>
  <si>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</si>
  <si>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</si>
  <si>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</si>
  <si>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</si>
  <si>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</si>
  <si>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</si>
  <si>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</si>
  <si>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</si>
  <si>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</si>
  <si>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</si>
  <si>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</si>
  <si>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</si>
  <si>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</si>
  <si>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</si>
  <si>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</si>
  <si>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</si>
  <si>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</si>
  <si>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</si>
  <si>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</si>
  <si>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</si>
  <si>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</si>
  <si>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</si>
  <si>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</si>
  <si>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</si>
  <si>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</si>
  <si>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</si>
  <si>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</si>
  <si>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</si>
  <si>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</si>
  <si>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</si>
  <si>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</si>
  <si>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</si>
  <si>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</si>
  <si>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</si>
  <si>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</si>
  <si>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</si>
  <si>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</si>
  <si>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</si>
  <si>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</si>
  <si>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</si>
  <si>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</si>
  <si>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</si>
  <si>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</si>
  <si>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</si>
  <si>
    <t>E. Griffin DL / Clegg</t>
  </si>
  <si>
    <t>S. Everett / Hughes</t>
  </si>
  <si>
    <t>S. Huang / Hsiao</t>
  </si>
  <si>
    <t>E. Byers / Puzey</t>
  </si>
  <si>
    <t>S. Harvey</t>
  </si>
  <si>
    <t>N_REPORTS</t>
  </si>
  <si>
    <t>2016:5:4:3:XINZHU_3_S</t>
  </si>
  <si>
    <t>2016:5:4:3:ZHUBEI_3_S</t>
  </si>
  <si>
    <t>2016:5:4:7:ANKANG_E</t>
  </si>
  <si>
    <t>2016:5:4:7:ASSISTANTS</t>
  </si>
  <si>
    <t>2016:5:4:7:BADE_A_E</t>
  </si>
  <si>
    <t>2016:5:4:7:BADE_B_E</t>
  </si>
  <si>
    <t>2016:5:4:7:BADE_S</t>
  </si>
  <si>
    <t>2016:5:4:7:BEITOU_E</t>
  </si>
  <si>
    <t>2016:5:4:7:BEITOU_S</t>
  </si>
  <si>
    <t>2016:5:4:7:DANFENG_E</t>
  </si>
  <si>
    <t>2016:5:4:7:DANSHUI_A_E</t>
  </si>
  <si>
    <t>2016:5:4:7:DANSHUI_B_E</t>
  </si>
  <si>
    <t>2016:5:4:7:GUISHAN_E</t>
  </si>
  <si>
    <t>2016:5:4:7:HUALIAN_1_E</t>
  </si>
  <si>
    <t>2016:5:4:7:HUALIAN_1_S</t>
  </si>
  <si>
    <t>2016:5:4:7:HUALIAN_2_E</t>
  </si>
  <si>
    <t>2016:5:4:7:HUALIAN_2_ZL</t>
  </si>
  <si>
    <t>2016:5:4:7:HUALIAN_3_E</t>
  </si>
  <si>
    <t>2016:5:4:7:HUALIAN_3_S</t>
  </si>
  <si>
    <t>2016:5:4:7:JILONG_A_E</t>
  </si>
  <si>
    <t>2016:5:4:7:JILONG_B_E</t>
  </si>
  <si>
    <t>2016:5:4:7:JINGXIN_S</t>
  </si>
  <si>
    <t>2016:5:4:7:JINGXIN_ZL</t>
  </si>
  <si>
    <t>2016:5:4:7:JINHUA_S</t>
  </si>
  <si>
    <t>2016:5:4:7:JINHUA_ZL</t>
  </si>
  <si>
    <t>2016:5:4:7:LONGTAN_E</t>
  </si>
  <si>
    <t>2016:5:4:7:LUODONG_A_E</t>
  </si>
  <si>
    <t>2016:5:4:7:LUODONG_B_E</t>
  </si>
  <si>
    <t>2016:5:4:7:LUZHOU_A_E</t>
  </si>
  <si>
    <t>2016:5:4:7:LUZHOU_B_E</t>
  </si>
  <si>
    <t>2016:5:4:7:MIAOLI_E</t>
  </si>
  <si>
    <t>2016:5:4:7:MUZHA_E</t>
  </si>
  <si>
    <t>2016:5:4:7:MUZHA_S</t>
  </si>
  <si>
    <t>2016:5:4:7:NEIHU_E</t>
  </si>
  <si>
    <t>2016:5:4:7:NEIHU_S</t>
  </si>
  <si>
    <t>2016:5:4:7:OFFICE_E</t>
  </si>
  <si>
    <t>2016:5:4:7:SANCHONG_E</t>
  </si>
  <si>
    <t>2016:5:4:7:SANCHONG_S</t>
  </si>
  <si>
    <t>2016:5:4:7:SANXIA_A_E</t>
  </si>
  <si>
    <t>2016:5:4:7:SANXIA_B_E</t>
  </si>
  <si>
    <t>2016:5:4:7:SHILIN_S</t>
  </si>
  <si>
    <t>2016:5:4:7:SHILIN_ZL</t>
  </si>
  <si>
    <t>2016:5:4:7:SIYUAN_E</t>
  </si>
  <si>
    <t>2016:5:4:7:SONGSHAN_S</t>
  </si>
  <si>
    <t>2016:5:4:7:SONGSHAN_ZL</t>
  </si>
  <si>
    <t>2016:5:4:7:TAIDONG_1_E</t>
  </si>
  <si>
    <t>2016:5:4:7:TAIDONG_1_S</t>
  </si>
  <si>
    <t>2016:5:4:7:TAIDONG_2_S</t>
  </si>
  <si>
    <t>2016:5:4:7:TAIDONG_2_ZL</t>
  </si>
  <si>
    <t>2016:5:4:7:TAIDONG_3_E</t>
  </si>
  <si>
    <t>2016:5:4:7:TAO_1_A</t>
  </si>
  <si>
    <t>2016:5:4:7:TAO_1_B</t>
  </si>
  <si>
    <t>2016:5:4:7:TAO_2_E</t>
  </si>
  <si>
    <t>2016:5:4:7:TAO_2_S</t>
  </si>
  <si>
    <t>2016:5:4:7:TAO_3_E</t>
  </si>
  <si>
    <t>2016:5:4:7:TAO_3_E_ZL</t>
  </si>
  <si>
    <t>2016:5:4:7:TAO_4_E</t>
  </si>
  <si>
    <t>2016:5:4:7:TAO_4_S</t>
  </si>
  <si>
    <t>2016:5:4:7:TIANMU_A_E</t>
  </si>
  <si>
    <t>2016:5:4:7:TIANMU_B_E</t>
  </si>
  <si>
    <t>2016:5:4:7:TOUFEN_E</t>
  </si>
  <si>
    <t>2016:5:4:7:TOUR_S</t>
  </si>
  <si>
    <t>2016:5:4:7:TUCHENG_S</t>
  </si>
  <si>
    <t>2016:5:4:7:TUCHENG_ZL</t>
  </si>
  <si>
    <t>2016:5:4:7:WANDA_E</t>
  </si>
  <si>
    <t>2016:5:4:7:WANDA_S</t>
  </si>
  <si>
    <t>2016:5:4:7:XIANGSHAN_E</t>
  </si>
  <si>
    <t>2016:5:4:7:XINAN_S</t>
  </si>
  <si>
    <t>2016:5:4:7:XINBAN_E</t>
  </si>
  <si>
    <t>2016:5:4:7:XINDIAN_E</t>
  </si>
  <si>
    <t>2016:5:4:7:XINDIAN_S</t>
  </si>
  <si>
    <t>2016:5:4:7:XINPU_E</t>
  </si>
  <si>
    <t>2016:5:4:7:XINZHU_1_E</t>
  </si>
  <si>
    <t>2016:5:4:7:XINZHU_1_S</t>
  </si>
  <si>
    <t>2016:5:4:7:XINZHU_3_S</t>
  </si>
  <si>
    <t>2016:5:4:7:XINZHU_3_ZL</t>
  </si>
  <si>
    <t>2016:5:4:7:XIZHI_A_E</t>
  </si>
  <si>
    <t>2016:5:4:7:XIZHI_B_E</t>
  </si>
  <si>
    <t>2016:5:4:7:XIZHI_S</t>
  </si>
  <si>
    <t>2016:5:4:7:YILAN_E</t>
  </si>
  <si>
    <t>2016:5:4:7:YILAN_S</t>
  </si>
  <si>
    <t>2016:5:4:7:YONGHE_S</t>
  </si>
  <si>
    <t>2016:5:4:7:YULI_E</t>
  </si>
  <si>
    <t>2016:5:4:7:YULI_S</t>
  </si>
  <si>
    <t>2016:5:4:7:ZHONGHE_1_E</t>
  </si>
  <si>
    <t>2016:5:4:7:ZHONGHE_2_E</t>
  </si>
  <si>
    <t>2016:5:4:7:ZHONGHE_2_S</t>
  </si>
  <si>
    <t>2016:5:4:7:ZHONGLI_1_E</t>
  </si>
  <si>
    <t>2016:5:4:7:ZHONGLI_1_S</t>
  </si>
  <si>
    <t>2016:5:4:7:ZHONGLI_2_E</t>
  </si>
  <si>
    <t>2016:5:4:7:ZHUBEI_1_E</t>
  </si>
  <si>
    <t>2016:5:4:7:ZHUBEI_2_E</t>
  </si>
  <si>
    <t>2016:5:4:7:ZHUBEI_2_S</t>
  </si>
  <si>
    <t>2016:5:4:7:ZHUBEI_3_S</t>
  </si>
  <si>
    <t>2016:5:4:7:ZHUDONG_E</t>
  </si>
  <si>
    <t>2016:5:4:7:ZHUDONG_S</t>
  </si>
  <si>
    <t>2016:5:4:7:ZHUNAN_S</t>
  </si>
  <si>
    <t>2016:5:4:7:ZHUNAN_ZL</t>
  </si>
  <si>
    <t>2016:5:5:7:ANKANG_E</t>
  </si>
  <si>
    <t>2016:5:5:7:ASSISTANTS</t>
  </si>
  <si>
    <t>2016:5:5:7:BADE_A_E</t>
  </si>
  <si>
    <t>2016:5:5:7:BADE_B_E</t>
  </si>
  <si>
    <t>2016:5:5:7:BADE_S</t>
  </si>
  <si>
    <t>2016:5:5:7:BEITOU_E</t>
  </si>
  <si>
    <t>2016:5:5:7:BEITOU_S</t>
  </si>
  <si>
    <t>2016:5:5:7:DANFENG_E</t>
  </si>
  <si>
    <t>2016:5:5:7:DANSHUI_A_E</t>
  </si>
  <si>
    <t>2016:5:5:7:DANSHUI_B_E</t>
  </si>
  <si>
    <t>2016:5:5:7:GUISHAN_E</t>
  </si>
  <si>
    <t>2016:5:5:7:HUALIAN_1_E</t>
  </si>
  <si>
    <t>2016:5:5:7:HUALIAN_1_S</t>
  </si>
  <si>
    <t>2016:5:5:7:HUALIAN_2_E</t>
  </si>
  <si>
    <t>2016:5:5:7:HUALIAN_2_ZL</t>
  </si>
  <si>
    <t>2016:5:5:7:HUALIAN_3_E</t>
  </si>
  <si>
    <t>2016:5:5:7:HUALIAN_3_S</t>
  </si>
  <si>
    <t>2016:5:5:7:JILONG_A_E</t>
  </si>
  <si>
    <t>2016:5:5:7:JILONG_B_E</t>
  </si>
  <si>
    <t>2016:5:5:7:JINGXIN_S</t>
  </si>
  <si>
    <t>2016:5:5:7:JINGXIN_ZL</t>
  </si>
  <si>
    <t>2016:5:5:7:JINHUA_S</t>
  </si>
  <si>
    <t>2016:5:5:7:JINHUA_ZL</t>
  </si>
  <si>
    <t>2016:5:5:7:LONGTAN_E</t>
  </si>
  <si>
    <t>2016:5:5:7:LUODONG_A_E</t>
  </si>
  <si>
    <t>2016:5:5:7:LUODONG_B_E</t>
  </si>
  <si>
    <t>2016:5:5:7:LUZHOU_A_E</t>
  </si>
  <si>
    <t>2016:5:5:7:LUZHOU_B_E</t>
  </si>
  <si>
    <t>2016:5:5:7:MIAOLI_E</t>
  </si>
  <si>
    <t>2016:5:5:7:MUZHA_E</t>
  </si>
  <si>
    <t>2016:5:5:7:MUZHA_S</t>
  </si>
  <si>
    <t>2016:5:5:7:NEIHU_E</t>
  </si>
  <si>
    <t>2016:5:5:7:NEIHU_S</t>
  </si>
  <si>
    <t>2016:5:5:7:OFFICE_E</t>
  </si>
  <si>
    <t>2016:5:5:7:SANCHONG_E</t>
  </si>
  <si>
    <t>2016:5:5:7:SANCHONG_S</t>
  </si>
  <si>
    <t>2016:5:5:7:SANXIA_A_E</t>
  </si>
  <si>
    <t>2016:5:5:7:SANXIA_B_E</t>
  </si>
  <si>
    <t>2016:5:5:7:SHILIN_S</t>
  </si>
  <si>
    <t>2016:5:5:7:SHILIN_ZL</t>
  </si>
  <si>
    <t>2016:5:5:7:SIYUAN_E</t>
  </si>
  <si>
    <t>2016:5:5:7:SONGSHAN_S</t>
  </si>
  <si>
    <t>2016:5:5:7:SONGSHAN_ZL</t>
  </si>
  <si>
    <t>2016:5:5:7:TAIDONG_1_E</t>
  </si>
  <si>
    <t>2016:5:5:7:TAIDONG_1_S</t>
  </si>
  <si>
    <t>2016:5:5:7:TAIDONG_2_S</t>
  </si>
  <si>
    <t>2016:5:5:7:TAIDONG_2_ZL</t>
  </si>
  <si>
    <t>2016:5:5:7:TAIDONG_3_E</t>
  </si>
  <si>
    <t>2016:5:5:7:TAO_1_A</t>
  </si>
  <si>
    <t>2016:5:5:7:TAO_1_B</t>
  </si>
  <si>
    <t>2016:5:5:7:TAO_2_E</t>
  </si>
  <si>
    <t>2016:5:5:7:TAO_2_S</t>
  </si>
  <si>
    <t>2016:5:5:7:TAO_3_E</t>
  </si>
  <si>
    <t>2016:5:5:7:TAO_3_E_ZL</t>
  </si>
  <si>
    <t>2016:5:5:7:TAO_4_E</t>
  </si>
  <si>
    <t>2016:5:5:7:TAO_4_S</t>
  </si>
  <si>
    <t>2016:5:5:7:TIANMU_A_E</t>
  </si>
  <si>
    <t>2016:5:5:7:TIANMU_B_E</t>
  </si>
  <si>
    <t>2016:5:5:7:TOUFEN_E</t>
  </si>
  <si>
    <t>2016:5:5:7:TOUR_S</t>
  </si>
  <si>
    <t>2016:5:5:7:TUCHENG_S</t>
  </si>
  <si>
    <t>2016:5:5:7:TUCHENG_ZL</t>
  </si>
  <si>
    <t>2016:5:5:7:WANDA_E</t>
  </si>
  <si>
    <t>2016:5:5:7:WANDA_S</t>
  </si>
  <si>
    <t>2016:5:5:7:XIANGSHAN_E</t>
  </si>
  <si>
    <t>2016:5:5:7:XINAN_S</t>
  </si>
  <si>
    <t>2016:5:5:7:XINBAN_E</t>
  </si>
  <si>
    <t>2016:5:5:7:XINDIAN_E</t>
  </si>
  <si>
    <t>2016:5:5:7:XINDIAN_S</t>
  </si>
  <si>
    <t>2016:5:5:7:XINPU_E</t>
  </si>
  <si>
    <t>2016:5:5:7:XINZHU_1_E</t>
  </si>
  <si>
    <t>2016:5:5:7:XINZHU_1_S</t>
  </si>
  <si>
    <t>2016:5:5:7:XINZHU_3_S</t>
  </si>
  <si>
    <t>2016:5:5:7:XINZHU_3_ZL</t>
  </si>
  <si>
    <t>2016:5:5:7:XIZHI_A_E</t>
  </si>
  <si>
    <t>2016:5:5:7:XIZHI_B_E</t>
  </si>
  <si>
    <t>2016:5:5:7:XIZHI_S</t>
  </si>
  <si>
    <t>2016:5:5:7:YILAN_E</t>
  </si>
  <si>
    <t>2016:5:5:7:YILAN_S</t>
  </si>
  <si>
    <t>2016:5:5:7:YONGHE_S</t>
  </si>
  <si>
    <t>2016:5:5:7:YULI_E</t>
  </si>
  <si>
    <t>2016:5:5:7:YULI_S</t>
  </si>
  <si>
    <t>2016:5:5:7:ZHONGHE_1_E</t>
  </si>
  <si>
    <t>2016:5:5:7:ZHONGHE_2_E</t>
  </si>
  <si>
    <t>2016:5:5:7:ZHONGHE_2_S</t>
  </si>
  <si>
    <t>2016:5:5:7:ZHONGLI_1_E</t>
  </si>
  <si>
    <t>2016:5:5:7:ZHONGLI_1_S</t>
  </si>
  <si>
    <t>2016:5:5:7:ZHONGLI_2_E</t>
  </si>
  <si>
    <t>2016:5:5:7:ZHUBEI_1_E</t>
  </si>
  <si>
    <t>2016:5:5:7:ZHUBEI_2_E</t>
  </si>
  <si>
    <t>2016:5:5:7:ZHUBEI_2_S</t>
  </si>
  <si>
    <t>2016:5:5:7:ZHUBEI_3_S</t>
  </si>
  <si>
    <t>2016:5:5:7:ZHUDONG_E</t>
  </si>
  <si>
    <t>2016:5:5:7:ZHUDONG_S</t>
  </si>
  <si>
    <t>2016:5:5:7:ZHUNAN_S</t>
  </si>
  <si>
    <t>2016:5:5:7:ZHUNAN_ZL</t>
  </si>
  <si>
    <t>黃姿筑</t>
  </si>
  <si>
    <t>陳媛英</t>
  </si>
  <si>
    <t>邱耘萱</t>
  </si>
  <si>
    <t>陳亭君</t>
  </si>
  <si>
    <t>黃彥凱</t>
  </si>
  <si>
    <t>陳嘉仁</t>
  </si>
  <si>
    <t>林甫修</t>
  </si>
  <si>
    <t>楊雨珊</t>
  </si>
  <si>
    <t>高坤盛</t>
  </si>
  <si>
    <t>簡陳正</t>
  </si>
  <si>
    <t>李佳鈺</t>
  </si>
  <si>
    <t>郭雅文</t>
  </si>
  <si>
    <t>CHEN HUA LING</t>
  </si>
  <si>
    <t>張淑貞</t>
  </si>
  <si>
    <t>呂威</t>
  </si>
  <si>
    <t>杜陳婷</t>
  </si>
  <si>
    <t xml:space="preserve"> Lai Yi Gao</t>
  </si>
  <si>
    <t>曾穎之</t>
  </si>
  <si>
    <t>游偉豪</t>
  </si>
  <si>
    <t xml:space="preserve"> shen ping wei</t>
  </si>
  <si>
    <t>高嘉廷</t>
  </si>
  <si>
    <t>ZHONGLI_1_A_E</t>
  </si>
  <si>
    <t>Zhongli 1 A E</t>
  </si>
  <si>
    <t>ZHONGLI_1_B_E</t>
  </si>
  <si>
    <t>Zhongli 1 B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</si>
</sst>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0" fontId="9" fillId="4" borderId="19" xfId="0" applyFont="1" applyFill="1" applyBorder="1" applyAlignment="1">
      <alignment horizontal="center" vertical="center"/>
    </xf>
    <xf numFmtId="0" fontId="2" fillId="0" borderId="0" xfId="3" applyFont="1"/>
    <xf numFmtId="14" fontId="2" fillId="0" borderId="0" xfId="5" applyNumberFormat="1"/>
    <xf numFmtId="0" fontId="1" fillId="0" borderId="0" xfId="5" applyFon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REPORT_GRAPH!$X$104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REPORT_GRAPH!$X$105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REPORT_GRAPH!$X$106</c:f>
              <c:strCache>
                <c:ptCount val="1"/>
                <c:pt idx="0">
                  <c:v>2016  3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REPORT_GRAPH!$AC$77:$AC$88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REPORT_GRAPH!$AD$77:$AD$88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413880"/>
        <c:axId val="134415840"/>
      </c:lineChart>
      <c:dateAx>
        <c:axId val="134413880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15840"/>
        <c:crosses val="autoZero"/>
        <c:auto val="1"/>
        <c:lblOffset val="100"/>
        <c:baseTimeUnit val="months"/>
      </c:dateAx>
      <c:valAx>
        <c:axId val="13441584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1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REPORT_GRAPH!$AF$51:$AK$51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REPORT_GRAPH!$AF$89:$AK$89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REPORT_GRAPH!$AR$77:$AR$88</c:f>
              <c:numCache>
                <c:formatCode>General</c:formatCode>
                <c:ptCount val="12"/>
                <c:pt idx="0">
                  <c:v>6</c:v>
                </c:pt>
                <c:pt idx="1">
                  <c:v>5</c:v>
                </c:pt>
                <c:pt idx="2">
                  <c:v>0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REPORT_GRAPH!$AS$77:$AS$88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REPORT_GRAPH!$AT$77:$AT$88</c:f>
              <c:numCache>
                <c:formatCode>General</c:formatCode>
                <c:ptCount val="12"/>
                <c:pt idx="0">
                  <c:v>0</c:v>
                </c:pt>
                <c:pt idx="1">
                  <c:v>8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REPORT_GRAPH!$AU$51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REPORT_GRAPH!$AW$52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REPORT_GRAPH!$AW$77:$AW$88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REPORT_GRAPH!$AX$52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REPORT_GRAPH!$AX$77:$AX$88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REPORT_GRAPH!$AY$52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REPORT_GRAPH!$AY$77:$AY$88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REPORT_GRAPH!$AZ$52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REPORT_GRAPH!$AZ$77:$AZ$88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REPORT_GRAPH!$AQ$51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REPORT_GRAPH!$AV$52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42442</c:v>
                </c:pt>
                <c:pt idx="1">
                  <c:v>42449</c:v>
                </c:pt>
                <c:pt idx="2">
                  <c:v>42456</c:v>
                </c:pt>
                <c:pt idx="3">
                  <c:v>42463</c:v>
                </c:pt>
                <c:pt idx="4">
                  <c:v>42470</c:v>
                </c:pt>
                <c:pt idx="5">
                  <c:v>42477</c:v>
                </c:pt>
                <c:pt idx="6">
                  <c:v>42484</c:v>
                </c:pt>
                <c:pt idx="7">
                  <c:v>42491</c:v>
                </c:pt>
                <c:pt idx="8">
                  <c:v>42498</c:v>
                </c:pt>
                <c:pt idx="9">
                  <c:v>42505</c:v>
                </c:pt>
                <c:pt idx="10">
                  <c:v>42512</c:v>
                </c:pt>
                <c:pt idx="11">
                  <c:v>42519</c:v>
                </c:pt>
              </c:numCache>
            </c:numRef>
          </c:cat>
          <c:val>
            <c:numRef>
              <c:f>REPORT_GRAPH!$AV$77:$AV$88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375312"/>
        <c:axId val="259375704"/>
      </c:lineChart>
      <c:dateAx>
        <c:axId val="25937531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75704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25937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7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7:$X$109" spid="_x0000_s87982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REPORT_GRAPH!$X$103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3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REPORT_GRAPH!$X$102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name="report_data" adjustColumnWidth="0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 PHONE_LIST$" connectionId="2" autoFormatId="16" applyNumberFormats="0" applyBorderFormats="0" applyFontFormats="0" applyPatternFormats="0" applyAlignmentFormats="0" applyWidthHeightFormats="0">
  <queryTableRefresh nextId="16">
    <queryTableFields count="14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APT_NAME" tableColumnId="5"/>
      <queryTableField id="6" name="M_NAMES_PRETTY" tableColumnId="6"/>
      <queryTableField id="7" name="DISTRICT_NAME" tableColumnId="7"/>
      <queryTableField id="8" name="ZONE_NAME" tableColumnId="8"/>
      <queryTableField id="9" name="WARD_NAME" tableColumnId="9"/>
      <queryTableField id="10" name="STAKE_NAME" tableColumnId="10"/>
      <queryTableField id="11" name="ENGLISH_UNIT_NAME" tableColumnId="11"/>
      <queryTableField id="12" name="REPORT_REQUIRED" tableColumnId="12"/>
      <queryTableField id="13" name="ENGLISH_REQUIRED" tableColumnId="13"/>
      <queryTableField id="15" name="GEOG_AREA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_PHONE_LIST" displayName="Table_phone_list_PHONE_LIST" ref="A1:N104" tableType="queryTable" totalsRowShown="0" headerRowDxfId="11" headerRowCellStyle="Normal 2" dataCellStyle="Normal 2">
  <autoFilter ref="A1:N104"/>
  <tableColumns count="14">
    <tableColumn id="1" uniqueName="1" name="AREA_NAME" queryTableFieldId="1" dataCellStyle="Normal 2"/>
    <tableColumn id="2" uniqueName="2" name="PH_NUMBER" queryTableFieldId="2" dataDxfId="10" dataCellStyle="Normal 2"/>
    <tableColumn id="3" uniqueName="3" name="AREA_NAME_PRETTY_ENGLISH" queryTableFieldId="3"/>
    <tableColumn id="4" uniqueName="4" name="AREA_NAME_CHINESE" queryTableFieldId="4"/>
    <tableColumn id="5" uniqueName="5" name="APT_NAME" queryTableFieldId="5"/>
    <tableColumn id="6" uniqueName="6" name="M_NAMES_PRETTY" queryTableFieldId="6" dataCellStyle="Normal 2"/>
    <tableColumn id="7" uniqueName="7" name="DISTRICT_NAME" queryTableFieldId="7" dataCellStyle="Normal 2"/>
    <tableColumn id="8" uniqueName="8" name="ZONE_NAME" queryTableFieldId="8" dataCellStyle="Normal 2"/>
    <tableColumn id="9" uniqueName="9" name="WARD_NAME" queryTableFieldId="9" dataCellStyle="Normal 2"/>
    <tableColumn id="10" uniqueName="10" name="STAKE_NAME" queryTableFieldId="10" dataCellStyle="Normal 2"/>
    <tableColumn id="11" uniqueName="11" name="ENGLISH_UNIT_NAME" queryTableFieldId="11" dataCellStyle="Normal 2"/>
    <tableColumn id="12" uniqueName="12" name="REPORT_REQUIRED" queryTableFieldId="12" dataCellStyle="Normal 2"/>
    <tableColumn id="13" uniqueName="13" name="ENGLISH_REQUIRED" queryTableFieldId="13" dataCellStyle="Normal 2"/>
    <tableColumn id="15" uniqueName="15" name="GEOG_AREAS" queryTableFieldId="15" dataDxfId="9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1947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1.5703125" style="6" customWidth="1"/>
    <col min="15" max="15" width="10.5703125" bestFit="1" customWidth="1"/>
    <col min="16" max="16" width="5.42578125" bestFit="1" customWidth="1"/>
    <col min="17" max="17" width="4.28515625" bestFit="1" customWidth="1"/>
    <col min="18" max="18" width="4.28515625" style="6" bestFit="1" customWidth="1"/>
    <col min="19" max="19" width="4.28515625" style="6" customWidth="1"/>
    <col min="20" max="20" width="15.28515625" style="6" bestFit="1" customWidth="1"/>
    <col min="21" max="21" width="11.85546875" style="6" bestFit="1" customWidth="1"/>
    <col min="22" max="22" width="12" style="6" bestFit="1" customWidth="1"/>
    <col min="23" max="23" width="14.28515625" style="6" bestFit="1" customWidth="1"/>
    <col min="24" max="24" width="13.140625" style="6" bestFit="1" customWidth="1"/>
    <col min="25" max="25" width="10.42578125" style="6" bestFit="1" customWidth="1"/>
    <col min="26" max="26" width="4.28515625" customWidth="1"/>
  </cols>
  <sheetData>
    <row r="1" spans="1:25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3125</v>
      </c>
      <c r="R1"/>
      <c r="S1"/>
      <c r="T1"/>
      <c r="U1"/>
      <c r="V1"/>
      <c r="W1"/>
      <c r="X1"/>
      <c r="Y1"/>
    </row>
    <row r="2" spans="1:25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R2"/>
      <c r="S2"/>
      <c r="T2"/>
      <c r="U2"/>
      <c r="V2"/>
      <c r="W2"/>
      <c r="X2"/>
      <c r="Y2"/>
    </row>
    <row r="3" spans="1:25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R3"/>
      <c r="S3"/>
      <c r="T3"/>
      <c r="U3"/>
      <c r="V3"/>
      <c r="W3"/>
      <c r="X3"/>
      <c r="Y3"/>
    </row>
    <row r="4" spans="1:25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R4"/>
      <c r="S4"/>
      <c r="T4"/>
      <c r="U4"/>
      <c r="V4"/>
      <c r="W4"/>
      <c r="X4"/>
      <c r="Y4"/>
    </row>
    <row r="5" spans="1:25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R5"/>
      <c r="S5"/>
      <c r="T5"/>
      <c r="U5"/>
      <c r="V5"/>
      <c r="W5"/>
      <c r="X5"/>
      <c r="Y5"/>
    </row>
    <row r="6" spans="1:25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R6"/>
      <c r="S6"/>
      <c r="T6"/>
      <c r="U6"/>
      <c r="V6"/>
      <c r="W6"/>
      <c r="X6"/>
      <c r="Y6"/>
    </row>
    <row r="7" spans="1:25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R7"/>
      <c r="S7"/>
      <c r="T7"/>
      <c r="U7"/>
      <c r="V7"/>
      <c r="W7"/>
      <c r="X7"/>
      <c r="Y7"/>
    </row>
    <row r="8" spans="1:25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R8"/>
      <c r="S8"/>
      <c r="T8"/>
      <c r="U8"/>
      <c r="V8"/>
      <c r="W8"/>
      <c r="X8"/>
      <c r="Y8"/>
    </row>
    <row r="9" spans="1:25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R9"/>
      <c r="S9"/>
      <c r="T9"/>
      <c r="U9"/>
      <c r="V9"/>
      <c r="W9"/>
      <c r="X9"/>
      <c r="Y9"/>
    </row>
    <row r="10" spans="1:25">
      <c r="A10" s="6" t="s">
        <v>389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R10"/>
      <c r="S10"/>
      <c r="T10"/>
      <c r="U10"/>
      <c r="V10"/>
      <c r="W10"/>
      <c r="X10"/>
      <c r="Y10"/>
    </row>
    <row r="11" spans="1:25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R11"/>
      <c r="S11"/>
      <c r="T11"/>
      <c r="U11"/>
      <c r="V11"/>
      <c r="W11"/>
      <c r="X11"/>
      <c r="Y11"/>
    </row>
    <row r="12" spans="1:25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R12"/>
      <c r="S12"/>
      <c r="T12"/>
      <c r="U12"/>
      <c r="V12"/>
      <c r="W12"/>
      <c r="X12"/>
      <c r="Y12"/>
    </row>
    <row r="13" spans="1:25">
      <c r="A13" s="6" t="s">
        <v>784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R13"/>
      <c r="S13"/>
      <c r="T13"/>
      <c r="U13"/>
      <c r="V13"/>
      <c r="W13"/>
      <c r="X13"/>
      <c r="Y13"/>
    </row>
    <row r="14" spans="1:25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R14"/>
      <c r="S14"/>
      <c r="T14"/>
      <c r="U14"/>
      <c r="V14"/>
      <c r="W14"/>
      <c r="X14"/>
      <c r="Y14"/>
    </row>
    <row r="15" spans="1:25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R15"/>
      <c r="S15"/>
      <c r="T15"/>
      <c r="U15"/>
      <c r="V15"/>
      <c r="W15"/>
      <c r="X15"/>
      <c r="Y15"/>
    </row>
    <row r="16" spans="1:25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R16"/>
      <c r="S16"/>
      <c r="T16"/>
      <c r="U16"/>
      <c r="V16"/>
      <c r="W16"/>
      <c r="X16"/>
      <c r="Y16"/>
    </row>
    <row r="17" spans="1:25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R17"/>
      <c r="S17"/>
      <c r="T17"/>
      <c r="U17"/>
      <c r="V17"/>
      <c r="W17"/>
      <c r="X17"/>
      <c r="Y17"/>
    </row>
    <row r="18" spans="1:25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R18"/>
      <c r="S18"/>
      <c r="T18"/>
      <c r="U18"/>
      <c r="V18"/>
      <c r="W18"/>
      <c r="X18"/>
      <c r="Y18"/>
    </row>
    <row r="19" spans="1:25">
      <c r="A19" s="6" t="s">
        <v>1303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8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R19"/>
      <c r="S19"/>
      <c r="T19"/>
      <c r="U19"/>
      <c r="V19"/>
      <c r="W19"/>
      <c r="X19"/>
      <c r="Y19"/>
    </row>
    <row r="20" spans="1:25">
      <c r="A20" s="6" t="s">
        <v>1304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R20"/>
      <c r="S20"/>
      <c r="T20"/>
      <c r="U20"/>
      <c r="V20"/>
      <c r="W20"/>
      <c r="X20"/>
      <c r="Y20"/>
    </row>
    <row r="21" spans="1:25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R21"/>
      <c r="S21"/>
      <c r="T21"/>
      <c r="U21"/>
      <c r="V21"/>
      <c r="W21"/>
      <c r="X21"/>
      <c r="Y21"/>
    </row>
    <row r="22" spans="1:25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R22"/>
      <c r="S22"/>
      <c r="T22"/>
      <c r="U22"/>
      <c r="V22"/>
      <c r="W22"/>
      <c r="X22"/>
      <c r="Y22"/>
    </row>
    <row r="23" spans="1:25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R23"/>
      <c r="S23"/>
      <c r="T23"/>
      <c r="U23"/>
      <c r="V23"/>
      <c r="W23"/>
      <c r="X23"/>
      <c r="Y23"/>
    </row>
    <row r="24" spans="1:25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R24"/>
      <c r="S24"/>
      <c r="T24"/>
      <c r="U24"/>
      <c r="V24"/>
      <c r="W24"/>
      <c r="X24"/>
      <c r="Y24"/>
    </row>
    <row r="25" spans="1:25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R25"/>
      <c r="S25"/>
      <c r="T25"/>
      <c r="U25"/>
      <c r="V25"/>
      <c r="W25"/>
      <c r="X25"/>
      <c r="Y25"/>
    </row>
    <row r="26" spans="1:25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R26"/>
      <c r="S26"/>
      <c r="T26"/>
      <c r="U26"/>
      <c r="V26"/>
      <c r="W26"/>
      <c r="X26"/>
      <c r="Y26"/>
    </row>
    <row r="27" spans="1:25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R27"/>
      <c r="S27"/>
      <c r="T27"/>
      <c r="U27"/>
      <c r="V27"/>
      <c r="W27"/>
      <c r="X27"/>
      <c r="Y27"/>
    </row>
    <row r="28" spans="1:25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R28"/>
      <c r="S28"/>
      <c r="T28"/>
      <c r="U28"/>
      <c r="V28"/>
      <c r="W28"/>
      <c r="X28"/>
      <c r="Y28"/>
    </row>
    <row r="29" spans="1:25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R29"/>
      <c r="S29"/>
      <c r="T29"/>
      <c r="U29"/>
      <c r="V29"/>
      <c r="W29"/>
      <c r="X29"/>
      <c r="Y29"/>
    </row>
    <row r="30" spans="1:25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R30"/>
      <c r="S30"/>
      <c r="T30"/>
      <c r="U30"/>
      <c r="V30"/>
      <c r="W30"/>
      <c r="X30"/>
      <c r="Y30"/>
    </row>
    <row r="31" spans="1:25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R31"/>
      <c r="S31"/>
      <c r="T31"/>
      <c r="U31"/>
      <c r="V31"/>
      <c r="W31"/>
      <c r="X31"/>
      <c r="Y31"/>
    </row>
    <row r="32" spans="1:25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R32"/>
      <c r="S32"/>
      <c r="T32"/>
      <c r="U32"/>
      <c r="V32"/>
      <c r="W32"/>
      <c r="X32"/>
      <c r="Y32"/>
    </row>
    <row r="33" spans="1:25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R33"/>
      <c r="S33"/>
      <c r="T33"/>
      <c r="U33"/>
      <c r="V33"/>
      <c r="W33"/>
      <c r="X33"/>
      <c r="Y33"/>
    </row>
    <row r="34" spans="1:25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R34"/>
      <c r="S34"/>
      <c r="T34"/>
      <c r="U34"/>
      <c r="V34"/>
      <c r="W34"/>
      <c r="X34"/>
      <c r="Y34"/>
    </row>
    <row r="35" spans="1:25">
      <c r="A35" s="6" t="s">
        <v>1305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R35"/>
      <c r="S35"/>
      <c r="T35"/>
      <c r="U35"/>
      <c r="V35"/>
      <c r="W35"/>
      <c r="X35"/>
      <c r="Y35"/>
    </row>
    <row r="36" spans="1:25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R36"/>
      <c r="S36"/>
      <c r="T36"/>
      <c r="U36"/>
      <c r="V36"/>
      <c r="W36"/>
      <c r="X36"/>
      <c r="Y36"/>
    </row>
    <row r="37" spans="1:25">
      <c r="A37" s="6" t="s">
        <v>1306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R37"/>
      <c r="S37"/>
      <c r="T37"/>
      <c r="U37"/>
      <c r="V37"/>
      <c r="W37"/>
      <c r="X37"/>
      <c r="Y37"/>
    </row>
    <row r="38" spans="1:25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R38"/>
      <c r="S38"/>
      <c r="T38"/>
      <c r="U38"/>
      <c r="V38"/>
      <c r="W38"/>
      <c r="X38"/>
      <c r="Y38"/>
    </row>
    <row r="39" spans="1:25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R39"/>
      <c r="S39"/>
      <c r="T39"/>
      <c r="U39"/>
      <c r="V39"/>
      <c r="W39"/>
      <c r="X39"/>
      <c r="Y39"/>
    </row>
    <row r="40" spans="1:25">
      <c r="A40" s="6" t="s">
        <v>1307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R40"/>
      <c r="S40"/>
      <c r="T40"/>
      <c r="U40"/>
      <c r="V40"/>
      <c r="W40"/>
      <c r="X40"/>
      <c r="Y40"/>
    </row>
    <row r="41" spans="1:25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R41"/>
      <c r="S41"/>
      <c r="T41"/>
      <c r="U41"/>
      <c r="V41"/>
      <c r="W41"/>
      <c r="X41"/>
      <c r="Y41"/>
    </row>
    <row r="42" spans="1:25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R42"/>
      <c r="S42"/>
      <c r="T42"/>
      <c r="U42"/>
      <c r="V42"/>
      <c r="W42"/>
      <c r="X42"/>
      <c r="Y42"/>
    </row>
    <row r="43" spans="1:25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R43"/>
      <c r="S43"/>
      <c r="T43"/>
      <c r="U43"/>
      <c r="V43"/>
      <c r="W43"/>
      <c r="X43"/>
      <c r="Y43"/>
    </row>
    <row r="44" spans="1:25">
      <c r="A44" s="6" t="s">
        <v>1308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R44"/>
      <c r="S44"/>
      <c r="T44"/>
      <c r="U44"/>
      <c r="V44"/>
      <c r="W44"/>
      <c r="X44"/>
      <c r="Y44"/>
    </row>
    <row r="45" spans="1:25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R45"/>
      <c r="S45"/>
      <c r="T45"/>
      <c r="U45"/>
      <c r="V45"/>
      <c r="W45"/>
      <c r="X45"/>
      <c r="Y45"/>
    </row>
    <row r="46" spans="1:25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R46"/>
      <c r="S46"/>
      <c r="T46"/>
      <c r="U46"/>
      <c r="V46"/>
      <c r="W46"/>
      <c r="X46"/>
      <c r="Y46"/>
    </row>
    <row r="47" spans="1:25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R47"/>
      <c r="S47"/>
      <c r="T47"/>
      <c r="U47"/>
      <c r="V47"/>
      <c r="W47"/>
      <c r="X47"/>
      <c r="Y47"/>
    </row>
    <row r="48" spans="1:25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R48"/>
      <c r="S48"/>
      <c r="T48"/>
      <c r="U48"/>
      <c r="V48"/>
      <c r="W48"/>
      <c r="X48"/>
      <c r="Y48"/>
    </row>
    <row r="49" spans="1:25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R49"/>
      <c r="S49"/>
      <c r="T49"/>
      <c r="U49"/>
      <c r="V49"/>
      <c r="W49"/>
      <c r="X49"/>
      <c r="Y49"/>
    </row>
    <row r="50" spans="1:25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R50"/>
      <c r="S50"/>
      <c r="T50"/>
      <c r="U50"/>
      <c r="V50"/>
      <c r="W50"/>
      <c r="X50"/>
      <c r="Y50"/>
    </row>
    <row r="51" spans="1:25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R51"/>
      <c r="S51"/>
      <c r="T51"/>
      <c r="U51"/>
      <c r="V51"/>
      <c r="W51"/>
      <c r="X51"/>
      <c r="Y51"/>
    </row>
    <row r="52" spans="1:25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R52"/>
      <c r="S52"/>
      <c r="T52"/>
      <c r="U52"/>
      <c r="V52"/>
      <c r="W52"/>
      <c r="X52"/>
      <c r="Y52"/>
    </row>
    <row r="53" spans="1:25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R53"/>
      <c r="S53"/>
      <c r="T53"/>
      <c r="U53"/>
      <c r="V53"/>
      <c r="W53"/>
      <c r="X53"/>
      <c r="Y53"/>
    </row>
    <row r="54" spans="1:25">
      <c r="A54" s="6" t="s">
        <v>1309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R54"/>
      <c r="S54"/>
      <c r="T54"/>
      <c r="U54"/>
      <c r="V54"/>
      <c r="W54"/>
      <c r="X54"/>
      <c r="Y54"/>
    </row>
    <row r="55" spans="1:25">
      <c r="A55" s="6" t="s">
        <v>1310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R55"/>
      <c r="S55"/>
      <c r="T55"/>
      <c r="U55"/>
      <c r="V55"/>
      <c r="W55"/>
      <c r="X55"/>
      <c r="Y55"/>
    </row>
    <row r="56" spans="1:25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R56"/>
      <c r="S56"/>
      <c r="T56"/>
      <c r="U56"/>
      <c r="V56"/>
      <c r="W56"/>
      <c r="X56"/>
      <c r="Y56"/>
    </row>
    <row r="57" spans="1:25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R57"/>
      <c r="S57"/>
      <c r="T57"/>
      <c r="U57"/>
      <c r="V57"/>
      <c r="W57"/>
      <c r="X57"/>
      <c r="Y57"/>
    </row>
    <row r="58" spans="1:25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R58"/>
      <c r="S58"/>
      <c r="T58"/>
      <c r="U58"/>
      <c r="V58"/>
      <c r="W58"/>
      <c r="X58"/>
      <c r="Y58"/>
    </row>
    <row r="59" spans="1:25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R59"/>
      <c r="S59"/>
      <c r="T59"/>
      <c r="U59"/>
      <c r="V59"/>
      <c r="W59"/>
      <c r="X59"/>
      <c r="Y59"/>
    </row>
    <row r="60" spans="1:25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R60"/>
      <c r="S60"/>
      <c r="T60"/>
      <c r="U60"/>
      <c r="V60"/>
      <c r="W60"/>
      <c r="X60"/>
      <c r="Y60"/>
    </row>
    <row r="61" spans="1:25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R61"/>
      <c r="S61"/>
      <c r="T61"/>
      <c r="U61"/>
      <c r="V61"/>
      <c r="W61"/>
      <c r="X61"/>
      <c r="Y61"/>
    </row>
    <row r="62" spans="1:25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R62"/>
      <c r="S62"/>
      <c r="T62"/>
      <c r="U62"/>
      <c r="V62"/>
      <c r="W62"/>
      <c r="X62"/>
      <c r="Y62"/>
    </row>
    <row r="63" spans="1:25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R63"/>
      <c r="S63"/>
      <c r="T63"/>
      <c r="U63"/>
      <c r="V63"/>
      <c r="W63"/>
      <c r="X63"/>
      <c r="Y63"/>
    </row>
    <row r="64" spans="1:25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R64"/>
      <c r="S64"/>
      <c r="T64"/>
      <c r="U64"/>
      <c r="V64"/>
      <c r="W64"/>
      <c r="X64"/>
      <c r="Y64"/>
    </row>
    <row r="65" spans="1:25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R65"/>
      <c r="S65"/>
      <c r="T65"/>
      <c r="U65"/>
      <c r="V65"/>
      <c r="W65"/>
      <c r="X65"/>
      <c r="Y65"/>
    </row>
    <row r="66" spans="1:25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R66"/>
      <c r="S66"/>
      <c r="T66"/>
      <c r="U66"/>
      <c r="V66"/>
      <c r="W66"/>
      <c r="X66"/>
      <c r="Y66"/>
    </row>
    <row r="67" spans="1:25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R67"/>
      <c r="S67"/>
      <c r="T67"/>
      <c r="U67"/>
      <c r="V67"/>
      <c r="W67"/>
      <c r="X67"/>
      <c r="Y67"/>
    </row>
    <row r="68" spans="1:25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R68"/>
      <c r="S68"/>
      <c r="T68"/>
      <c r="U68"/>
      <c r="V68"/>
      <c r="W68"/>
      <c r="X68"/>
      <c r="Y68"/>
    </row>
    <row r="69" spans="1:25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R69"/>
      <c r="S69"/>
      <c r="T69"/>
      <c r="U69"/>
      <c r="V69"/>
      <c r="W69"/>
      <c r="X69"/>
      <c r="Y69"/>
    </row>
    <row r="70" spans="1:25">
      <c r="A70" s="6" t="s">
        <v>1311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R70"/>
      <c r="S70"/>
      <c r="T70"/>
      <c r="U70"/>
      <c r="V70"/>
      <c r="W70"/>
      <c r="X70"/>
      <c r="Y70"/>
    </row>
    <row r="71" spans="1:25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R71"/>
      <c r="S71"/>
      <c r="T71"/>
      <c r="U71"/>
      <c r="V71"/>
      <c r="W71"/>
      <c r="X71"/>
      <c r="Y71"/>
    </row>
    <row r="72" spans="1:25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R72"/>
      <c r="S72"/>
      <c r="T72"/>
      <c r="U72"/>
      <c r="V72"/>
      <c r="W72"/>
      <c r="X72"/>
      <c r="Y72"/>
    </row>
    <row r="73" spans="1:25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R73"/>
      <c r="S73"/>
      <c r="T73"/>
      <c r="U73"/>
      <c r="V73"/>
      <c r="W73"/>
      <c r="X73"/>
      <c r="Y73"/>
    </row>
    <row r="74" spans="1:25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R74"/>
      <c r="S74"/>
      <c r="T74"/>
      <c r="U74"/>
      <c r="V74"/>
      <c r="W74"/>
      <c r="X74"/>
      <c r="Y74"/>
    </row>
    <row r="75" spans="1:25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R75"/>
      <c r="S75"/>
      <c r="T75"/>
      <c r="U75"/>
      <c r="V75"/>
      <c r="W75"/>
      <c r="X75"/>
      <c r="Y75"/>
    </row>
    <row r="76" spans="1:25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R76"/>
      <c r="S76"/>
      <c r="T76"/>
      <c r="U76"/>
      <c r="V76"/>
      <c r="W76"/>
      <c r="X76"/>
      <c r="Y76"/>
    </row>
    <row r="77" spans="1:25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R77"/>
      <c r="S77"/>
      <c r="T77"/>
      <c r="U77"/>
      <c r="V77"/>
      <c r="W77"/>
      <c r="X77"/>
      <c r="Y77"/>
    </row>
    <row r="78" spans="1:25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R78"/>
      <c r="S78"/>
      <c r="T78"/>
      <c r="U78"/>
      <c r="V78"/>
      <c r="W78"/>
      <c r="X78"/>
      <c r="Y78"/>
    </row>
    <row r="79" spans="1:25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R79"/>
      <c r="S79"/>
      <c r="T79"/>
      <c r="U79"/>
      <c r="V79"/>
      <c r="W79"/>
      <c r="X79"/>
      <c r="Y79"/>
    </row>
    <row r="80" spans="1:25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R80"/>
      <c r="S80"/>
      <c r="T80"/>
      <c r="U80"/>
      <c r="V80"/>
      <c r="W80"/>
      <c r="X80"/>
      <c r="Y80"/>
    </row>
    <row r="81" spans="1:25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R81"/>
      <c r="S81"/>
      <c r="T81"/>
      <c r="U81"/>
      <c r="V81"/>
      <c r="W81"/>
      <c r="X81"/>
      <c r="Y81"/>
    </row>
    <row r="82" spans="1:25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R82"/>
      <c r="S82"/>
      <c r="T82"/>
      <c r="U82"/>
      <c r="V82"/>
      <c r="W82"/>
      <c r="X82"/>
      <c r="Y82"/>
    </row>
    <row r="83" spans="1:25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R83"/>
      <c r="S83"/>
      <c r="T83"/>
      <c r="U83"/>
      <c r="V83"/>
      <c r="W83"/>
      <c r="X83"/>
      <c r="Y83"/>
    </row>
    <row r="84" spans="1:25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R84"/>
      <c r="S84"/>
      <c r="T84"/>
      <c r="U84"/>
      <c r="V84"/>
      <c r="W84"/>
      <c r="X84"/>
      <c r="Y84"/>
    </row>
    <row r="85" spans="1:25">
      <c r="A85" s="6" t="s">
        <v>390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R85"/>
      <c r="S85"/>
      <c r="T85"/>
      <c r="U85"/>
      <c r="V85"/>
      <c r="W85"/>
      <c r="X85"/>
      <c r="Y85"/>
    </row>
    <row r="86" spans="1:25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R86"/>
      <c r="S86"/>
      <c r="T86"/>
      <c r="U86"/>
      <c r="V86"/>
      <c r="W86"/>
      <c r="X86"/>
      <c r="Y86"/>
    </row>
    <row r="87" spans="1:25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R87"/>
      <c r="S87"/>
      <c r="T87"/>
      <c r="U87"/>
      <c r="V87"/>
      <c r="W87"/>
      <c r="X87"/>
      <c r="Y87"/>
    </row>
    <row r="88" spans="1:25">
      <c r="A88" s="6" t="s">
        <v>2042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R88"/>
      <c r="S88"/>
      <c r="T88"/>
      <c r="U88"/>
      <c r="V88"/>
      <c r="W88"/>
      <c r="X88"/>
      <c r="Y88"/>
    </row>
    <row r="89" spans="1:25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R89"/>
      <c r="S89"/>
      <c r="T89"/>
      <c r="U89"/>
      <c r="V89"/>
      <c r="W89"/>
      <c r="X89"/>
      <c r="Y89"/>
    </row>
    <row r="90" spans="1:25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R90"/>
      <c r="S90"/>
      <c r="T90"/>
      <c r="U90"/>
      <c r="V90"/>
      <c r="W90"/>
      <c r="X90"/>
      <c r="Y90"/>
    </row>
    <row r="91" spans="1:25">
      <c r="A91" s="6" t="s">
        <v>765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R91"/>
      <c r="S91"/>
      <c r="T91"/>
      <c r="U91"/>
      <c r="V91"/>
      <c r="W91"/>
      <c r="X91"/>
      <c r="Y91"/>
    </row>
    <row r="92" spans="1:25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R92"/>
      <c r="S92"/>
      <c r="T92"/>
      <c r="U92"/>
      <c r="V92"/>
      <c r="W92"/>
      <c r="X92"/>
      <c r="Y92"/>
    </row>
    <row r="93" spans="1:25">
      <c r="A93" s="6" t="s">
        <v>391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R93"/>
      <c r="S93"/>
      <c r="T93"/>
      <c r="U93"/>
      <c r="V93"/>
      <c r="W93"/>
      <c r="X93"/>
      <c r="Y93"/>
    </row>
    <row r="94" spans="1:25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R94"/>
      <c r="S94"/>
      <c r="T94"/>
      <c r="U94"/>
      <c r="V94"/>
      <c r="W94"/>
      <c r="X94"/>
      <c r="Y94"/>
    </row>
    <row r="95" spans="1:25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R95"/>
      <c r="S95"/>
      <c r="T95"/>
      <c r="U95"/>
      <c r="V95"/>
      <c r="W95"/>
      <c r="X95"/>
      <c r="Y95"/>
    </row>
    <row r="96" spans="1:25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R96"/>
      <c r="S96"/>
      <c r="T96"/>
      <c r="U96"/>
      <c r="V96"/>
      <c r="W96"/>
      <c r="X96"/>
      <c r="Y96"/>
    </row>
    <row r="97" spans="1:25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R97"/>
      <c r="S97"/>
      <c r="T97"/>
      <c r="U97"/>
      <c r="V97"/>
      <c r="W97"/>
      <c r="X97"/>
      <c r="Y97"/>
    </row>
    <row r="98" spans="1:25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R98"/>
      <c r="S98"/>
      <c r="T98"/>
      <c r="U98"/>
      <c r="V98"/>
      <c r="W98"/>
      <c r="X98"/>
      <c r="Y98"/>
    </row>
    <row r="99" spans="1:25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R99"/>
      <c r="S99"/>
      <c r="T99"/>
      <c r="U99"/>
      <c r="V99"/>
      <c r="W99"/>
      <c r="X99"/>
      <c r="Y99"/>
    </row>
    <row r="100" spans="1:25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R100"/>
      <c r="S100"/>
      <c r="T100"/>
      <c r="U100"/>
      <c r="V100"/>
      <c r="W100"/>
      <c r="X100"/>
      <c r="Y100"/>
    </row>
    <row r="101" spans="1:25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R101"/>
      <c r="S101"/>
      <c r="T101"/>
      <c r="U101"/>
      <c r="V101"/>
      <c r="W101"/>
      <c r="X101"/>
      <c r="Y101"/>
    </row>
    <row r="102" spans="1:25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R102"/>
      <c r="S102"/>
      <c r="T102"/>
      <c r="U102"/>
      <c r="V102"/>
      <c r="W102"/>
      <c r="X102"/>
      <c r="Y102"/>
    </row>
    <row r="103" spans="1:25">
      <c r="A103" s="6" t="s">
        <v>392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R103"/>
      <c r="S103"/>
      <c r="T103"/>
      <c r="U103"/>
      <c r="V103"/>
      <c r="W103"/>
      <c r="X103"/>
      <c r="Y103"/>
    </row>
    <row r="104" spans="1:25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R104"/>
      <c r="S104"/>
      <c r="T104"/>
      <c r="U104"/>
      <c r="V104"/>
      <c r="W104"/>
      <c r="X104"/>
      <c r="Y104"/>
    </row>
    <row r="105" spans="1:25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R105"/>
      <c r="S105"/>
      <c r="T105"/>
      <c r="U105"/>
      <c r="V105"/>
      <c r="W105"/>
      <c r="X105"/>
      <c r="Y105"/>
    </row>
    <row r="106" spans="1:25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R106"/>
      <c r="S106"/>
      <c r="T106"/>
      <c r="U106"/>
      <c r="V106"/>
      <c r="W106"/>
      <c r="X106"/>
      <c r="Y106"/>
    </row>
    <row r="107" spans="1:25">
      <c r="A107" s="6" t="s">
        <v>785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R107"/>
      <c r="S107"/>
      <c r="T107"/>
      <c r="U107"/>
      <c r="V107"/>
      <c r="W107"/>
      <c r="X107"/>
      <c r="Y107"/>
    </row>
    <row r="108" spans="1:25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R108"/>
      <c r="S108"/>
      <c r="T108"/>
      <c r="U108"/>
      <c r="V108"/>
      <c r="W108"/>
      <c r="X108"/>
      <c r="Y108"/>
    </row>
    <row r="109" spans="1:25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R109"/>
      <c r="S109"/>
      <c r="T109"/>
      <c r="U109"/>
      <c r="V109"/>
      <c r="W109"/>
      <c r="X109"/>
      <c r="Y109"/>
    </row>
    <row r="110" spans="1:25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R110"/>
      <c r="S110"/>
      <c r="T110"/>
      <c r="U110"/>
      <c r="V110"/>
      <c r="W110"/>
      <c r="X110"/>
      <c r="Y110"/>
    </row>
    <row r="111" spans="1:25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R111"/>
      <c r="S111"/>
      <c r="T111"/>
      <c r="U111"/>
      <c r="V111"/>
      <c r="W111"/>
      <c r="X111"/>
      <c r="Y111"/>
    </row>
    <row r="112" spans="1:25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R112"/>
      <c r="S112"/>
      <c r="T112"/>
      <c r="U112"/>
      <c r="V112"/>
      <c r="W112"/>
      <c r="X112"/>
      <c r="Y112"/>
    </row>
    <row r="113" spans="1:25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R113"/>
      <c r="S113"/>
      <c r="T113"/>
      <c r="U113"/>
      <c r="V113"/>
      <c r="W113"/>
      <c r="X113"/>
      <c r="Y113"/>
    </row>
    <row r="114" spans="1:25">
      <c r="A114" s="6" t="s">
        <v>1312</v>
      </c>
      <c r="B114" s="3">
        <v>0</v>
      </c>
      <c r="C114" s="6">
        <v>0</v>
      </c>
      <c r="D114" s="6">
        <v>2</v>
      </c>
      <c r="E114" s="6">
        <v>6</v>
      </c>
      <c r="F114" s="6">
        <v>10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R114"/>
      <c r="S114"/>
      <c r="T114"/>
      <c r="U114"/>
      <c r="V114"/>
      <c r="W114"/>
      <c r="X114"/>
      <c r="Y114"/>
    </row>
    <row r="115" spans="1:25">
      <c r="A115" s="6" t="s">
        <v>1313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R115"/>
      <c r="S115"/>
      <c r="T115"/>
      <c r="U115"/>
      <c r="V115"/>
      <c r="W115"/>
      <c r="X115"/>
      <c r="Y115"/>
    </row>
    <row r="116" spans="1:25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R116"/>
      <c r="S116"/>
      <c r="T116"/>
      <c r="U116"/>
      <c r="V116"/>
      <c r="W116"/>
      <c r="X116"/>
      <c r="Y116"/>
    </row>
    <row r="117" spans="1:25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R117"/>
      <c r="S117"/>
      <c r="T117"/>
      <c r="U117"/>
      <c r="V117"/>
      <c r="W117"/>
      <c r="X117"/>
      <c r="Y117"/>
    </row>
    <row r="118" spans="1:25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R118"/>
      <c r="S118"/>
      <c r="T118"/>
      <c r="U118"/>
      <c r="V118"/>
      <c r="W118"/>
      <c r="X118"/>
      <c r="Y118"/>
    </row>
    <row r="119" spans="1:25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R119"/>
      <c r="S119"/>
      <c r="T119"/>
      <c r="U119"/>
      <c r="V119"/>
      <c r="W119"/>
      <c r="X119"/>
      <c r="Y119"/>
    </row>
    <row r="120" spans="1:25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R120"/>
      <c r="S120"/>
      <c r="T120"/>
      <c r="U120"/>
      <c r="V120"/>
      <c r="W120"/>
      <c r="X120"/>
      <c r="Y120"/>
    </row>
    <row r="121" spans="1:25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R121"/>
      <c r="S121"/>
      <c r="T121"/>
      <c r="U121"/>
      <c r="V121"/>
      <c r="W121"/>
      <c r="X121"/>
      <c r="Y121"/>
    </row>
    <row r="122" spans="1:25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R122"/>
      <c r="S122"/>
      <c r="T122"/>
      <c r="U122"/>
      <c r="V122"/>
      <c r="W122"/>
      <c r="X122"/>
      <c r="Y122"/>
    </row>
    <row r="123" spans="1:25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R123"/>
      <c r="S123"/>
      <c r="T123"/>
      <c r="U123"/>
      <c r="V123"/>
      <c r="W123"/>
      <c r="X123"/>
      <c r="Y123"/>
    </row>
    <row r="124" spans="1:25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R124"/>
      <c r="S124"/>
      <c r="T124"/>
      <c r="U124"/>
      <c r="V124"/>
      <c r="W124"/>
      <c r="X124"/>
      <c r="Y124"/>
    </row>
    <row r="125" spans="1:25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R125"/>
      <c r="S125"/>
      <c r="T125"/>
      <c r="U125"/>
      <c r="V125"/>
      <c r="W125"/>
      <c r="X125"/>
      <c r="Y125"/>
    </row>
    <row r="126" spans="1:25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R126"/>
      <c r="S126"/>
      <c r="T126"/>
      <c r="U126"/>
      <c r="V126"/>
      <c r="W126"/>
      <c r="X126"/>
      <c r="Y126"/>
    </row>
    <row r="127" spans="1:25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R127"/>
      <c r="S127"/>
      <c r="T127"/>
      <c r="U127"/>
      <c r="V127"/>
      <c r="W127"/>
      <c r="X127"/>
      <c r="Y127"/>
    </row>
    <row r="128" spans="1:25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R128"/>
      <c r="S128"/>
      <c r="T128"/>
      <c r="U128"/>
      <c r="V128"/>
      <c r="W128"/>
      <c r="X128"/>
      <c r="Y128"/>
    </row>
    <row r="129" spans="1:25">
      <c r="A129" s="6" t="s">
        <v>1314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R129"/>
      <c r="S129"/>
      <c r="T129"/>
      <c r="U129"/>
      <c r="V129"/>
      <c r="W129"/>
      <c r="X129"/>
      <c r="Y129"/>
    </row>
    <row r="130" spans="1:25">
      <c r="A130" s="6" t="s">
        <v>1315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R130"/>
      <c r="S130"/>
      <c r="T130"/>
      <c r="U130"/>
      <c r="V130"/>
      <c r="W130"/>
      <c r="X130"/>
      <c r="Y130"/>
    </row>
    <row r="131" spans="1:25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R131"/>
      <c r="S131"/>
      <c r="T131"/>
      <c r="U131"/>
      <c r="V131"/>
      <c r="W131"/>
      <c r="X131"/>
      <c r="Y131"/>
    </row>
    <row r="132" spans="1:25">
      <c r="A132" s="6" t="s">
        <v>1316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R132"/>
      <c r="S132"/>
      <c r="T132"/>
      <c r="U132"/>
      <c r="V132"/>
      <c r="W132"/>
      <c r="X132"/>
      <c r="Y132"/>
    </row>
    <row r="133" spans="1:25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R133"/>
      <c r="S133"/>
      <c r="T133"/>
      <c r="U133"/>
      <c r="V133"/>
      <c r="W133"/>
      <c r="X133"/>
      <c r="Y133"/>
    </row>
    <row r="134" spans="1:25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R134"/>
      <c r="S134"/>
      <c r="T134"/>
      <c r="U134"/>
      <c r="V134"/>
      <c r="W134"/>
      <c r="X134"/>
      <c r="Y134"/>
    </row>
    <row r="135" spans="1:25">
      <c r="A135" s="6" t="s">
        <v>1317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R135"/>
      <c r="S135"/>
      <c r="T135"/>
      <c r="U135"/>
      <c r="V135"/>
      <c r="W135"/>
      <c r="X135"/>
      <c r="Y135"/>
    </row>
    <row r="136" spans="1:25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R136"/>
      <c r="S136"/>
      <c r="T136"/>
      <c r="U136"/>
      <c r="V136"/>
      <c r="W136"/>
      <c r="X136"/>
      <c r="Y136"/>
    </row>
    <row r="137" spans="1:25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R137"/>
      <c r="S137"/>
      <c r="T137"/>
      <c r="U137"/>
      <c r="V137"/>
      <c r="W137"/>
      <c r="X137"/>
      <c r="Y137"/>
    </row>
    <row r="138" spans="1:25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R138"/>
      <c r="S138"/>
      <c r="T138"/>
      <c r="U138"/>
      <c r="V138"/>
      <c r="W138"/>
      <c r="X138"/>
      <c r="Y138"/>
    </row>
    <row r="139" spans="1:25">
      <c r="A139" s="6" t="s">
        <v>1318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R139"/>
      <c r="S139"/>
      <c r="T139"/>
      <c r="U139"/>
      <c r="V139"/>
      <c r="W139"/>
      <c r="X139"/>
      <c r="Y139"/>
    </row>
    <row r="140" spans="1:25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R140"/>
      <c r="S140"/>
      <c r="T140"/>
      <c r="U140"/>
      <c r="V140"/>
      <c r="W140"/>
      <c r="X140"/>
      <c r="Y140"/>
    </row>
    <row r="141" spans="1:25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R141"/>
      <c r="S141"/>
      <c r="T141"/>
      <c r="U141"/>
      <c r="V141"/>
      <c r="W141"/>
      <c r="X141"/>
      <c r="Y141"/>
    </row>
    <row r="142" spans="1:25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R142"/>
      <c r="S142"/>
      <c r="T142"/>
      <c r="U142"/>
      <c r="V142"/>
      <c r="W142"/>
      <c r="X142"/>
      <c r="Y142"/>
    </row>
    <row r="143" spans="1:25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R143"/>
      <c r="S143"/>
      <c r="T143"/>
      <c r="U143"/>
      <c r="V143"/>
      <c r="W143"/>
      <c r="X143"/>
      <c r="Y143"/>
    </row>
    <row r="144" spans="1:25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R144"/>
      <c r="S144"/>
      <c r="T144"/>
      <c r="U144"/>
      <c r="V144"/>
      <c r="W144"/>
      <c r="X144"/>
      <c r="Y144"/>
    </row>
    <row r="145" spans="1:25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R145"/>
      <c r="S145"/>
      <c r="T145"/>
      <c r="U145"/>
      <c r="V145"/>
      <c r="W145"/>
      <c r="X145"/>
      <c r="Y145"/>
    </row>
    <row r="146" spans="1:25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R146"/>
      <c r="S146"/>
      <c r="T146"/>
      <c r="U146"/>
      <c r="V146"/>
      <c r="W146"/>
      <c r="X146"/>
      <c r="Y146"/>
    </row>
    <row r="147" spans="1:25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R147"/>
      <c r="S147"/>
      <c r="T147"/>
      <c r="U147"/>
      <c r="V147"/>
      <c r="W147"/>
      <c r="X147"/>
      <c r="Y147"/>
    </row>
    <row r="148" spans="1:25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R148"/>
      <c r="S148"/>
      <c r="T148"/>
      <c r="U148"/>
      <c r="V148"/>
      <c r="W148"/>
      <c r="X148"/>
      <c r="Y148"/>
    </row>
    <row r="149" spans="1:25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R149"/>
      <c r="S149"/>
      <c r="T149"/>
      <c r="U149"/>
      <c r="V149"/>
      <c r="W149"/>
      <c r="X149"/>
      <c r="Y149"/>
    </row>
    <row r="150" spans="1:25">
      <c r="A150" s="6" t="s">
        <v>1319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R150"/>
      <c r="S150"/>
      <c r="T150"/>
      <c r="U150"/>
      <c r="V150"/>
      <c r="W150"/>
      <c r="X150"/>
      <c r="Y150"/>
    </row>
    <row r="151" spans="1:25">
      <c r="A151" s="6" t="s">
        <v>1320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R151"/>
      <c r="S151"/>
      <c r="T151"/>
      <c r="U151"/>
      <c r="V151"/>
      <c r="W151"/>
      <c r="X151"/>
      <c r="Y151"/>
    </row>
    <row r="152" spans="1:25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R152"/>
      <c r="S152"/>
      <c r="T152"/>
      <c r="U152"/>
      <c r="V152"/>
      <c r="W152"/>
      <c r="X152"/>
      <c r="Y152"/>
    </row>
    <row r="153" spans="1:25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R153"/>
      <c r="S153"/>
      <c r="T153"/>
      <c r="U153"/>
      <c r="V153"/>
      <c r="W153"/>
      <c r="X153"/>
      <c r="Y153"/>
    </row>
    <row r="154" spans="1:25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R154"/>
      <c r="S154"/>
      <c r="T154"/>
      <c r="U154"/>
      <c r="V154"/>
      <c r="W154"/>
      <c r="X154"/>
      <c r="Y154"/>
    </row>
    <row r="155" spans="1:25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R155"/>
      <c r="S155"/>
      <c r="T155"/>
      <c r="U155"/>
      <c r="V155"/>
      <c r="W155"/>
      <c r="X155"/>
      <c r="Y155"/>
    </row>
    <row r="156" spans="1:25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R156"/>
      <c r="S156"/>
      <c r="T156"/>
      <c r="U156"/>
      <c r="V156"/>
      <c r="W156"/>
      <c r="X156"/>
      <c r="Y156"/>
    </row>
    <row r="157" spans="1:25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R157"/>
      <c r="S157"/>
      <c r="T157"/>
      <c r="U157"/>
      <c r="V157"/>
      <c r="W157"/>
      <c r="X157"/>
      <c r="Y157"/>
    </row>
    <row r="158" spans="1:25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R158"/>
      <c r="S158"/>
      <c r="T158"/>
      <c r="U158"/>
      <c r="V158"/>
      <c r="W158"/>
      <c r="X158"/>
      <c r="Y158"/>
    </row>
    <row r="159" spans="1:25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R159"/>
      <c r="S159"/>
      <c r="T159"/>
      <c r="U159"/>
      <c r="V159"/>
      <c r="W159"/>
      <c r="X159"/>
      <c r="Y159"/>
    </row>
    <row r="160" spans="1:25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R160"/>
      <c r="S160"/>
      <c r="T160"/>
      <c r="U160"/>
      <c r="V160"/>
      <c r="W160"/>
      <c r="X160"/>
      <c r="Y160"/>
    </row>
    <row r="161" spans="1:25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R161"/>
      <c r="S161"/>
      <c r="T161"/>
      <c r="U161"/>
      <c r="V161"/>
      <c r="W161"/>
      <c r="X161"/>
      <c r="Y161"/>
    </row>
    <row r="162" spans="1:25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R162"/>
      <c r="S162"/>
      <c r="T162"/>
      <c r="U162"/>
      <c r="V162"/>
      <c r="W162"/>
      <c r="X162"/>
      <c r="Y162"/>
    </row>
    <row r="163" spans="1:25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R163"/>
      <c r="S163"/>
      <c r="T163"/>
      <c r="U163"/>
      <c r="V163"/>
      <c r="W163"/>
      <c r="X163"/>
      <c r="Y163"/>
    </row>
    <row r="164" spans="1:25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R164"/>
      <c r="S164"/>
      <c r="T164"/>
      <c r="U164"/>
      <c r="V164"/>
      <c r="W164"/>
      <c r="X164"/>
      <c r="Y164"/>
    </row>
    <row r="165" spans="1:25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R165"/>
      <c r="S165"/>
      <c r="T165"/>
      <c r="U165"/>
      <c r="V165"/>
      <c r="W165"/>
      <c r="X165"/>
      <c r="Y165"/>
    </row>
    <row r="166" spans="1:25">
      <c r="A166" s="6" t="s">
        <v>1321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R166"/>
      <c r="S166"/>
      <c r="T166"/>
      <c r="U166"/>
      <c r="V166"/>
      <c r="W166"/>
      <c r="X166"/>
      <c r="Y166"/>
    </row>
    <row r="167" spans="1:25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R167"/>
      <c r="S167"/>
      <c r="T167"/>
      <c r="U167"/>
      <c r="V167"/>
      <c r="W167"/>
      <c r="X167"/>
      <c r="Y167"/>
    </row>
    <row r="168" spans="1:25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R168"/>
      <c r="S168"/>
      <c r="T168"/>
      <c r="U168"/>
      <c r="V168"/>
      <c r="W168"/>
      <c r="X168"/>
      <c r="Y168"/>
    </row>
    <row r="169" spans="1:25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R169"/>
      <c r="S169"/>
      <c r="T169"/>
      <c r="U169"/>
      <c r="V169"/>
      <c r="W169"/>
      <c r="X169"/>
      <c r="Y169"/>
    </row>
    <row r="170" spans="1:25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R170"/>
      <c r="S170"/>
      <c r="T170"/>
      <c r="U170"/>
      <c r="V170"/>
      <c r="W170"/>
      <c r="X170"/>
      <c r="Y170"/>
    </row>
    <row r="171" spans="1:25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R171"/>
      <c r="S171"/>
      <c r="T171"/>
      <c r="U171"/>
      <c r="V171"/>
      <c r="W171"/>
      <c r="X171"/>
      <c r="Y171"/>
    </row>
    <row r="172" spans="1:25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R172"/>
      <c r="S172"/>
      <c r="T172"/>
      <c r="U172"/>
      <c r="V172"/>
      <c r="W172"/>
      <c r="X172"/>
      <c r="Y172"/>
    </row>
    <row r="173" spans="1:25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R173"/>
      <c r="S173"/>
      <c r="T173"/>
      <c r="U173"/>
      <c r="V173"/>
      <c r="W173"/>
      <c r="X173"/>
      <c r="Y173"/>
    </row>
    <row r="174" spans="1:25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R174"/>
      <c r="S174"/>
      <c r="T174"/>
      <c r="U174"/>
      <c r="V174"/>
      <c r="W174"/>
      <c r="X174"/>
      <c r="Y174"/>
    </row>
    <row r="175" spans="1:25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R175"/>
      <c r="S175"/>
      <c r="T175"/>
      <c r="U175"/>
      <c r="V175"/>
      <c r="W175"/>
      <c r="X175"/>
      <c r="Y175"/>
    </row>
    <row r="176" spans="1:25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R176"/>
      <c r="S176"/>
      <c r="T176"/>
      <c r="U176"/>
      <c r="V176"/>
      <c r="W176"/>
      <c r="X176"/>
      <c r="Y176"/>
    </row>
    <row r="177" spans="1:25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R177"/>
      <c r="S177"/>
      <c r="T177"/>
      <c r="U177"/>
      <c r="V177"/>
      <c r="W177"/>
      <c r="X177"/>
      <c r="Y177"/>
    </row>
    <row r="178" spans="1:25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R178"/>
      <c r="S178"/>
      <c r="T178"/>
      <c r="U178"/>
      <c r="V178"/>
      <c r="W178"/>
      <c r="X178"/>
      <c r="Y178"/>
    </row>
    <row r="179" spans="1:25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R179"/>
      <c r="S179"/>
      <c r="T179"/>
      <c r="U179"/>
      <c r="V179"/>
      <c r="W179"/>
      <c r="X179"/>
      <c r="Y179"/>
    </row>
    <row r="180" spans="1:25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R180"/>
      <c r="S180"/>
      <c r="T180"/>
      <c r="U180"/>
      <c r="V180"/>
      <c r="W180"/>
      <c r="X180"/>
      <c r="Y180"/>
    </row>
    <row r="181" spans="1:25">
      <c r="A181" s="6" t="s">
        <v>393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R181"/>
      <c r="S181"/>
      <c r="T181"/>
      <c r="U181"/>
      <c r="V181"/>
      <c r="W181"/>
      <c r="X181"/>
      <c r="Y181"/>
    </row>
    <row r="182" spans="1:25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R182"/>
      <c r="S182"/>
      <c r="T182"/>
      <c r="U182"/>
      <c r="V182"/>
      <c r="W182"/>
      <c r="X182"/>
      <c r="Y182"/>
    </row>
    <row r="183" spans="1:25">
      <c r="A183" s="6" t="s">
        <v>2043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R183"/>
      <c r="S183"/>
      <c r="T183"/>
      <c r="U183"/>
      <c r="V183"/>
      <c r="W183"/>
      <c r="X183"/>
      <c r="Y183"/>
    </row>
    <row r="184" spans="1:25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R184"/>
      <c r="S184"/>
      <c r="T184"/>
      <c r="U184"/>
      <c r="V184"/>
      <c r="W184"/>
      <c r="X184"/>
      <c r="Y184"/>
    </row>
    <row r="185" spans="1:25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R185"/>
      <c r="S185"/>
      <c r="T185"/>
      <c r="U185"/>
      <c r="V185"/>
      <c r="W185"/>
      <c r="X185"/>
      <c r="Y185"/>
    </row>
    <row r="186" spans="1:25">
      <c r="A186" s="6" t="s">
        <v>766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R186"/>
      <c r="S186"/>
      <c r="T186"/>
      <c r="U186"/>
      <c r="V186"/>
      <c r="W186"/>
      <c r="X186"/>
      <c r="Y186"/>
    </row>
    <row r="187" spans="1:25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R187"/>
      <c r="S187"/>
      <c r="T187"/>
      <c r="U187"/>
      <c r="V187"/>
      <c r="W187"/>
      <c r="X187"/>
      <c r="Y187"/>
    </row>
    <row r="188" spans="1:25">
      <c r="A188" s="6" t="s">
        <v>394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R188"/>
      <c r="S188"/>
      <c r="T188"/>
      <c r="U188"/>
      <c r="V188"/>
      <c r="W188"/>
      <c r="X188"/>
      <c r="Y188"/>
    </row>
    <row r="189" spans="1:25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R189"/>
      <c r="S189"/>
      <c r="T189"/>
      <c r="U189"/>
      <c r="V189"/>
      <c r="W189"/>
      <c r="X189"/>
      <c r="Y189"/>
    </row>
    <row r="190" spans="1:25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R190"/>
      <c r="S190"/>
      <c r="T190"/>
      <c r="U190"/>
      <c r="V190"/>
      <c r="W190"/>
      <c r="X190"/>
      <c r="Y190"/>
    </row>
    <row r="191" spans="1:25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R191"/>
      <c r="S191"/>
      <c r="T191"/>
      <c r="U191"/>
      <c r="V191"/>
      <c r="W191"/>
      <c r="X191"/>
      <c r="Y191"/>
    </row>
    <row r="192" spans="1:25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R192"/>
      <c r="S192"/>
      <c r="T192"/>
      <c r="U192"/>
      <c r="V192"/>
      <c r="W192"/>
      <c r="X192"/>
      <c r="Y192"/>
    </row>
    <row r="193" spans="1:25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R193"/>
      <c r="S193"/>
      <c r="T193"/>
      <c r="U193"/>
      <c r="V193"/>
      <c r="W193"/>
      <c r="X193"/>
      <c r="Y193"/>
    </row>
    <row r="194" spans="1:25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R194"/>
      <c r="S194"/>
      <c r="T194"/>
      <c r="U194"/>
      <c r="V194"/>
      <c r="W194"/>
      <c r="X194"/>
      <c r="Y194"/>
    </row>
    <row r="195" spans="1:25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R195"/>
      <c r="S195"/>
      <c r="T195"/>
      <c r="U195"/>
      <c r="V195"/>
      <c r="W195"/>
      <c r="X195"/>
      <c r="Y195"/>
    </row>
    <row r="196" spans="1:25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R196"/>
      <c r="S196"/>
      <c r="T196"/>
      <c r="U196"/>
      <c r="V196"/>
      <c r="W196"/>
      <c r="X196"/>
      <c r="Y196"/>
    </row>
    <row r="197" spans="1:25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R197"/>
      <c r="S197"/>
      <c r="T197"/>
      <c r="U197"/>
      <c r="V197"/>
      <c r="W197"/>
      <c r="X197"/>
      <c r="Y197"/>
    </row>
    <row r="198" spans="1:25">
      <c r="A198" s="6" t="s">
        <v>395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R198"/>
      <c r="S198"/>
      <c r="T198"/>
      <c r="U198"/>
      <c r="V198"/>
      <c r="W198"/>
      <c r="X198"/>
      <c r="Y198"/>
    </row>
    <row r="199" spans="1:25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R199"/>
      <c r="S199"/>
      <c r="T199"/>
      <c r="U199"/>
      <c r="V199"/>
      <c r="W199"/>
      <c r="X199"/>
      <c r="Y199"/>
    </row>
    <row r="200" spans="1:25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R200"/>
      <c r="S200"/>
      <c r="T200"/>
      <c r="U200"/>
      <c r="V200"/>
      <c r="W200"/>
      <c r="X200"/>
      <c r="Y200"/>
    </row>
    <row r="201" spans="1:25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R201"/>
      <c r="S201"/>
      <c r="T201"/>
      <c r="U201"/>
      <c r="V201"/>
      <c r="W201"/>
      <c r="X201"/>
      <c r="Y201"/>
    </row>
    <row r="202" spans="1:25">
      <c r="A202" s="6" t="s">
        <v>786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R202"/>
      <c r="S202"/>
      <c r="T202"/>
      <c r="U202"/>
      <c r="V202"/>
      <c r="W202"/>
      <c r="X202"/>
      <c r="Y202"/>
    </row>
    <row r="203" spans="1:25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R203"/>
      <c r="S203"/>
      <c r="T203"/>
      <c r="U203"/>
      <c r="V203"/>
      <c r="W203"/>
      <c r="X203"/>
      <c r="Y203"/>
    </row>
    <row r="204" spans="1:25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R204"/>
      <c r="S204"/>
      <c r="T204"/>
      <c r="U204"/>
      <c r="V204"/>
      <c r="W204"/>
      <c r="X204"/>
      <c r="Y204"/>
    </row>
    <row r="205" spans="1:25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R205"/>
      <c r="S205"/>
      <c r="T205"/>
      <c r="U205"/>
      <c r="V205"/>
      <c r="W205"/>
      <c r="X205"/>
      <c r="Y205"/>
    </row>
    <row r="206" spans="1:25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R206"/>
      <c r="S206"/>
      <c r="T206"/>
      <c r="U206"/>
      <c r="V206"/>
      <c r="W206"/>
      <c r="X206"/>
      <c r="Y206"/>
    </row>
    <row r="207" spans="1:25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R207"/>
      <c r="S207"/>
      <c r="T207"/>
      <c r="U207"/>
      <c r="V207"/>
      <c r="W207"/>
      <c r="X207"/>
      <c r="Y207"/>
    </row>
    <row r="208" spans="1:25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R208"/>
      <c r="S208"/>
      <c r="T208"/>
      <c r="U208"/>
      <c r="V208"/>
      <c r="W208"/>
      <c r="X208"/>
      <c r="Y208"/>
    </row>
    <row r="209" spans="1:25">
      <c r="A209" s="6" t="s">
        <v>1322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R209"/>
      <c r="S209"/>
      <c r="T209"/>
      <c r="U209"/>
      <c r="V209"/>
      <c r="W209"/>
      <c r="X209"/>
      <c r="Y209"/>
    </row>
    <row r="210" spans="1:25">
      <c r="A210" s="6" t="s">
        <v>1323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R210"/>
      <c r="S210"/>
      <c r="T210"/>
      <c r="U210"/>
      <c r="V210"/>
      <c r="W210"/>
      <c r="X210"/>
      <c r="Y210"/>
    </row>
    <row r="211" spans="1:25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R211"/>
      <c r="S211"/>
      <c r="T211"/>
      <c r="U211"/>
      <c r="V211"/>
      <c r="W211"/>
      <c r="X211"/>
      <c r="Y211"/>
    </row>
    <row r="212" spans="1:25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R212"/>
      <c r="S212"/>
      <c r="T212"/>
      <c r="U212"/>
      <c r="V212"/>
      <c r="W212"/>
      <c r="X212"/>
      <c r="Y212"/>
    </row>
    <row r="213" spans="1:25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R213"/>
      <c r="S213"/>
      <c r="T213"/>
      <c r="U213"/>
      <c r="V213"/>
      <c r="W213"/>
      <c r="X213"/>
      <c r="Y213"/>
    </row>
    <row r="214" spans="1:25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R214"/>
      <c r="S214"/>
      <c r="T214"/>
      <c r="U214"/>
      <c r="V214"/>
      <c r="W214"/>
      <c r="X214"/>
      <c r="Y214"/>
    </row>
    <row r="215" spans="1:25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R215"/>
      <c r="S215"/>
      <c r="T215"/>
      <c r="U215"/>
      <c r="V215"/>
      <c r="W215"/>
      <c r="X215"/>
      <c r="Y215"/>
    </row>
    <row r="216" spans="1:25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R216"/>
      <c r="S216"/>
      <c r="T216"/>
      <c r="U216"/>
      <c r="V216"/>
      <c r="W216"/>
      <c r="X216"/>
      <c r="Y216"/>
    </row>
    <row r="217" spans="1:25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R217"/>
      <c r="S217"/>
      <c r="T217"/>
      <c r="U217"/>
      <c r="V217"/>
      <c r="W217"/>
      <c r="X217"/>
      <c r="Y217"/>
    </row>
    <row r="218" spans="1:25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R218"/>
      <c r="S218"/>
      <c r="T218"/>
      <c r="U218"/>
      <c r="V218"/>
      <c r="W218"/>
      <c r="X218"/>
      <c r="Y218"/>
    </row>
    <row r="219" spans="1:25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R219"/>
      <c r="S219"/>
      <c r="T219"/>
      <c r="U219"/>
      <c r="V219"/>
      <c r="W219"/>
      <c r="X219"/>
      <c r="Y219"/>
    </row>
    <row r="220" spans="1:25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R220"/>
      <c r="S220"/>
      <c r="T220"/>
      <c r="U220"/>
      <c r="V220"/>
      <c r="W220"/>
      <c r="X220"/>
      <c r="Y220"/>
    </row>
    <row r="221" spans="1:25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R221"/>
      <c r="S221"/>
      <c r="T221"/>
      <c r="U221"/>
      <c r="V221"/>
      <c r="W221"/>
      <c r="X221"/>
      <c r="Y221"/>
    </row>
    <row r="222" spans="1:25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R222"/>
      <c r="S222"/>
      <c r="T222"/>
      <c r="U222"/>
      <c r="V222"/>
      <c r="W222"/>
      <c r="X222"/>
      <c r="Y222"/>
    </row>
    <row r="223" spans="1:25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R223"/>
      <c r="S223"/>
      <c r="T223"/>
      <c r="U223"/>
      <c r="V223"/>
      <c r="W223"/>
      <c r="X223"/>
      <c r="Y223"/>
    </row>
    <row r="224" spans="1:25">
      <c r="A224" s="6" t="s">
        <v>1324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R224"/>
      <c r="S224"/>
      <c r="T224"/>
      <c r="U224"/>
      <c r="V224"/>
      <c r="W224"/>
      <c r="X224"/>
      <c r="Y224"/>
    </row>
    <row r="225" spans="1:25">
      <c r="A225" s="6" t="s">
        <v>1325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R225"/>
      <c r="S225"/>
      <c r="T225"/>
      <c r="U225"/>
      <c r="V225"/>
      <c r="W225"/>
      <c r="X225"/>
      <c r="Y225"/>
    </row>
    <row r="226" spans="1:25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R226"/>
      <c r="S226"/>
      <c r="T226"/>
      <c r="U226"/>
      <c r="V226"/>
      <c r="W226"/>
      <c r="X226"/>
      <c r="Y226"/>
    </row>
    <row r="227" spans="1:25">
      <c r="A227" s="6" t="s">
        <v>1326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R227"/>
      <c r="S227"/>
      <c r="T227"/>
      <c r="U227"/>
      <c r="V227"/>
      <c r="W227"/>
      <c r="X227"/>
      <c r="Y227"/>
    </row>
    <row r="228" spans="1:25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R228"/>
      <c r="S228"/>
      <c r="T228"/>
      <c r="U228"/>
      <c r="V228"/>
      <c r="W228"/>
      <c r="X228"/>
      <c r="Y228"/>
    </row>
    <row r="229" spans="1:25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R229"/>
      <c r="S229"/>
      <c r="T229"/>
      <c r="U229"/>
      <c r="V229"/>
      <c r="W229"/>
      <c r="X229"/>
      <c r="Y229"/>
    </row>
    <row r="230" spans="1:25">
      <c r="A230" s="6" t="s">
        <v>1327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R230"/>
      <c r="S230"/>
      <c r="T230"/>
      <c r="U230"/>
      <c r="V230"/>
      <c r="W230"/>
      <c r="X230"/>
      <c r="Y230"/>
    </row>
    <row r="231" spans="1:25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R231"/>
      <c r="S231"/>
      <c r="T231"/>
      <c r="U231"/>
      <c r="V231"/>
      <c r="W231"/>
      <c r="X231"/>
      <c r="Y231"/>
    </row>
    <row r="232" spans="1:25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R232"/>
      <c r="S232"/>
      <c r="T232"/>
      <c r="U232"/>
      <c r="V232"/>
      <c r="W232"/>
      <c r="X232"/>
      <c r="Y232"/>
    </row>
    <row r="233" spans="1:25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R233"/>
      <c r="S233"/>
      <c r="T233"/>
      <c r="U233"/>
      <c r="V233"/>
      <c r="W233"/>
      <c r="X233"/>
      <c r="Y233"/>
    </row>
    <row r="234" spans="1:25">
      <c r="A234" s="6" t="s">
        <v>1328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R234"/>
      <c r="S234"/>
      <c r="T234"/>
      <c r="U234"/>
      <c r="V234"/>
      <c r="W234"/>
      <c r="X234"/>
      <c r="Y234"/>
    </row>
    <row r="235" spans="1:25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R235"/>
      <c r="S235"/>
      <c r="T235"/>
      <c r="U235"/>
      <c r="V235"/>
      <c r="W235"/>
      <c r="X235"/>
      <c r="Y235"/>
    </row>
    <row r="236" spans="1:25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R236"/>
      <c r="S236"/>
      <c r="T236"/>
      <c r="U236"/>
      <c r="V236"/>
      <c r="W236"/>
      <c r="X236"/>
      <c r="Y236"/>
    </row>
    <row r="237" spans="1:25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R237"/>
      <c r="S237"/>
      <c r="T237"/>
      <c r="U237"/>
      <c r="V237"/>
      <c r="W237"/>
      <c r="X237"/>
      <c r="Y237"/>
    </row>
    <row r="238" spans="1:25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R238"/>
      <c r="S238"/>
      <c r="T238"/>
      <c r="U238"/>
      <c r="V238"/>
      <c r="W238"/>
      <c r="X238"/>
      <c r="Y238"/>
    </row>
    <row r="239" spans="1:25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R239"/>
      <c r="S239"/>
      <c r="T239"/>
      <c r="U239"/>
      <c r="V239"/>
      <c r="W239"/>
      <c r="X239"/>
      <c r="Y239"/>
    </row>
    <row r="240" spans="1:25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R240"/>
      <c r="S240"/>
      <c r="T240"/>
      <c r="U240"/>
      <c r="V240"/>
      <c r="W240"/>
      <c r="X240"/>
      <c r="Y240"/>
    </row>
    <row r="241" spans="1:25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R241"/>
      <c r="S241"/>
      <c r="T241"/>
      <c r="U241"/>
      <c r="V241"/>
      <c r="W241"/>
      <c r="X241"/>
      <c r="Y241"/>
    </row>
    <row r="242" spans="1:25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R242"/>
      <c r="S242"/>
      <c r="T242"/>
      <c r="U242"/>
      <c r="V242"/>
      <c r="W242"/>
      <c r="X242"/>
      <c r="Y242"/>
    </row>
    <row r="243" spans="1:25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R243"/>
      <c r="S243"/>
      <c r="T243"/>
      <c r="U243"/>
      <c r="V243"/>
      <c r="W243"/>
      <c r="X243"/>
      <c r="Y243"/>
    </row>
    <row r="244" spans="1:25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R244"/>
      <c r="S244"/>
      <c r="T244"/>
      <c r="U244"/>
      <c r="V244"/>
      <c r="W244"/>
      <c r="X244"/>
      <c r="Y244"/>
    </row>
    <row r="245" spans="1:25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R245"/>
      <c r="S245"/>
      <c r="T245"/>
      <c r="U245"/>
      <c r="V245"/>
      <c r="W245"/>
      <c r="X245"/>
      <c r="Y245"/>
    </row>
    <row r="246" spans="1:25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R246"/>
      <c r="S246"/>
      <c r="T246"/>
      <c r="U246"/>
      <c r="V246"/>
      <c r="W246"/>
      <c r="X246"/>
      <c r="Y246"/>
    </row>
    <row r="247" spans="1:25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R247"/>
      <c r="S247"/>
      <c r="T247"/>
      <c r="U247"/>
      <c r="V247"/>
      <c r="W247"/>
      <c r="X247"/>
      <c r="Y247"/>
    </row>
    <row r="248" spans="1:25">
      <c r="A248" s="6" t="s">
        <v>1329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R248"/>
      <c r="S248"/>
      <c r="T248"/>
      <c r="U248"/>
      <c r="V248"/>
      <c r="W248"/>
      <c r="X248"/>
      <c r="Y248"/>
    </row>
    <row r="249" spans="1:25">
      <c r="A249" s="6" t="s">
        <v>1330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R249"/>
      <c r="S249"/>
      <c r="T249"/>
      <c r="U249"/>
      <c r="V249"/>
      <c r="W249"/>
      <c r="X249"/>
      <c r="Y249"/>
    </row>
    <row r="250" spans="1:25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R250"/>
      <c r="S250"/>
      <c r="T250"/>
      <c r="U250"/>
      <c r="V250"/>
      <c r="W250"/>
      <c r="X250"/>
      <c r="Y250"/>
    </row>
    <row r="251" spans="1:25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R251"/>
      <c r="S251"/>
      <c r="T251"/>
      <c r="U251"/>
      <c r="V251"/>
      <c r="W251"/>
      <c r="X251"/>
      <c r="Y251"/>
    </row>
    <row r="252" spans="1:25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R252"/>
      <c r="S252"/>
      <c r="T252"/>
      <c r="U252"/>
      <c r="V252"/>
      <c r="W252"/>
      <c r="X252"/>
      <c r="Y252"/>
    </row>
    <row r="253" spans="1:25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R253"/>
      <c r="S253"/>
      <c r="T253"/>
      <c r="U253"/>
      <c r="V253"/>
      <c r="W253"/>
      <c r="X253"/>
      <c r="Y253"/>
    </row>
    <row r="254" spans="1:25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R254"/>
      <c r="S254"/>
      <c r="T254"/>
      <c r="U254"/>
      <c r="V254"/>
      <c r="W254"/>
      <c r="X254"/>
      <c r="Y254"/>
    </row>
    <row r="255" spans="1:25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R255"/>
      <c r="S255"/>
      <c r="T255"/>
      <c r="U255"/>
      <c r="V255"/>
      <c r="W255"/>
      <c r="X255"/>
      <c r="Y255"/>
    </row>
    <row r="256" spans="1:25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R256"/>
      <c r="S256"/>
      <c r="T256"/>
      <c r="U256"/>
      <c r="V256"/>
      <c r="W256"/>
      <c r="X256"/>
      <c r="Y256"/>
    </row>
    <row r="257" spans="1:25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R257"/>
      <c r="S257"/>
      <c r="T257"/>
      <c r="U257"/>
      <c r="V257"/>
      <c r="W257"/>
      <c r="X257"/>
      <c r="Y257"/>
    </row>
    <row r="258" spans="1:25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R258"/>
      <c r="S258"/>
      <c r="T258"/>
      <c r="U258"/>
      <c r="V258"/>
      <c r="W258"/>
      <c r="X258"/>
      <c r="Y258"/>
    </row>
    <row r="259" spans="1:25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R259"/>
      <c r="S259"/>
      <c r="T259"/>
      <c r="U259"/>
      <c r="V259"/>
      <c r="W259"/>
      <c r="X259"/>
      <c r="Y259"/>
    </row>
    <row r="260" spans="1:25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R260"/>
      <c r="S260"/>
      <c r="T260"/>
      <c r="U260"/>
      <c r="V260"/>
      <c r="W260"/>
      <c r="X260"/>
      <c r="Y260"/>
    </row>
    <row r="261" spans="1:25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R261"/>
      <c r="S261"/>
      <c r="T261"/>
      <c r="U261"/>
      <c r="V261"/>
      <c r="W261"/>
      <c r="X261"/>
      <c r="Y261"/>
    </row>
    <row r="262" spans="1:25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R262"/>
      <c r="S262"/>
      <c r="T262"/>
      <c r="U262"/>
      <c r="V262"/>
      <c r="W262"/>
      <c r="X262"/>
      <c r="Y262"/>
    </row>
    <row r="263" spans="1:25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R263"/>
      <c r="S263"/>
      <c r="T263"/>
      <c r="U263"/>
      <c r="V263"/>
      <c r="W263"/>
      <c r="X263"/>
      <c r="Y263"/>
    </row>
    <row r="264" spans="1:25">
      <c r="A264" s="6" t="s">
        <v>1331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R264"/>
      <c r="S264"/>
      <c r="T264"/>
      <c r="U264"/>
      <c r="V264"/>
      <c r="W264"/>
      <c r="X264"/>
      <c r="Y264"/>
    </row>
    <row r="265" spans="1:25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R265"/>
      <c r="S265"/>
      <c r="T265"/>
      <c r="U265"/>
      <c r="V265"/>
      <c r="W265"/>
      <c r="X265"/>
      <c r="Y265"/>
    </row>
    <row r="266" spans="1:25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R266"/>
      <c r="S266"/>
      <c r="T266"/>
      <c r="U266"/>
      <c r="V266"/>
      <c r="W266"/>
      <c r="X266"/>
      <c r="Y266"/>
    </row>
    <row r="267" spans="1:25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R267"/>
      <c r="S267"/>
      <c r="T267"/>
      <c r="U267"/>
      <c r="V267"/>
      <c r="W267"/>
      <c r="X267"/>
      <c r="Y267"/>
    </row>
    <row r="268" spans="1:25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R268"/>
      <c r="S268"/>
      <c r="T268"/>
      <c r="U268"/>
      <c r="V268"/>
      <c r="W268"/>
      <c r="X268"/>
      <c r="Y268"/>
    </row>
    <row r="269" spans="1:25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R269"/>
      <c r="S269"/>
      <c r="T269"/>
      <c r="U269"/>
      <c r="V269"/>
      <c r="W269"/>
      <c r="X269"/>
      <c r="Y269"/>
    </row>
    <row r="270" spans="1:25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R270"/>
      <c r="S270"/>
      <c r="T270"/>
      <c r="U270"/>
      <c r="V270"/>
      <c r="W270"/>
      <c r="X270"/>
      <c r="Y270"/>
    </row>
    <row r="271" spans="1:25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R271"/>
      <c r="S271"/>
      <c r="T271"/>
      <c r="U271"/>
      <c r="V271"/>
      <c r="W271"/>
      <c r="X271"/>
      <c r="Y271"/>
    </row>
    <row r="272" spans="1:25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R272"/>
      <c r="S272"/>
      <c r="T272"/>
      <c r="U272"/>
      <c r="V272"/>
      <c r="W272"/>
      <c r="X272"/>
      <c r="Y272"/>
    </row>
    <row r="273" spans="1:25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R273"/>
      <c r="S273"/>
      <c r="T273"/>
      <c r="U273"/>
      <c r="V273"/>
      <c r="W273"/>
      <c r="X273"/>
      <c r="Y273"/>
    </row>
    <row r="274" spans="1:25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R274"/>
      <c r="S274"/>
      <c r="T274"/>
      <c r="U274"/>
      <c r="V274"/>
      <c r="W274"/>
      <c r="X274"/>
      <c r="Y274"/>
    </row>
    <row r="275" spans="1:25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R275"/>
      <c r="S275"/>
      <c r="T275"/>
      <c r="U275"/>
      <c r="V275"/>
      <c r="W275"/>
      <c r="X275"/>
      <c r="Y275"/>
    </row>
    <row r="276" spans="1:25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R276"/>
      <c r="S276"/>
      <c r="T276"/>
      <c r="U276"/>
      <c r="V276"/>
      <c r="W276"/>
      <c r="X276"/>
      <c r="Y276"/>
    </row>
    <row r="277" spans="1:25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R277"/>
      <c r="S277"/>
      <c r="T277"/>
      <c r="U277"/>
      <c r="V277"/>
      <c r="W277"/>
      <c r="X277"/>
      <c r="Y277"/>
    </row>
    <row r="278" spans="1:25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R278"/>
      <c r="S278"/>
      <c r="T278"/>
      <c r="U278"/>
      <c r="V278"/>
      <c r="W278"/>
      <c r="X278"/>
      <c r="Y278"/>
    </row>
    <row r="279" spans="1:25">
      <c r="A279" s="6" t="s">
        <v>396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R279"/>
      <c r="S279"/>
      <c r="T279"/>
      <c r="U279"/>
      <c r="V279"/>
      <c r="W279"/>
      <c r="X279"/>
      <c r="Y279"/>
    </row>
    <row r="280" spans="1:25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R280"/>
      <c r="S280"/>
      <c r="T280"/>
      <c r="U280"/>
      <c r="V280"/>
      <c r="W280"/>
      <c r="X280"/>
      <c r="Y280"/>
    </row>
    <row r="281" spans="1:25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R281"/>
      <c r="S281"/>
      <c r="T281"/>
      <c r="U281"/>
      <c r="V281"/>
      <c r="W281"/>
      <c r="X281"/>
      <c r="Y281"/>
    </row>
    <row r="282" spans="1:25">
      <c r="A282" s="6" t="s">
        <v>2044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R282"/>
      <c r="S282"/>
      <c r="T282"/>
      <c r="U282"/>
      <c r="V282"/>
      <c r="W282"/>
      <c r="X282"/>
      <c r="Y282"/>
    </row>
    <row r="283" spans="1:25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R283"/>
      <c r="S283"/>
      <c r="T283"/>
      <c r="U283"/>
      <c r="V283"/>
      <c r="W283"/>
      <c r="X283"/>
      <c r="Y283"/>
    </row>
    <row r="284" spans="1:25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R284"/>
      <c r="S284"/>
      <c r="T284"/>
      <c r="U284"/>
      <c r="V284"/>
      <c r="W284"/>
      <c r="X284"/>
      <c r="Y284"/>
    </row>
    <row r="285" spans="1:25">
      <c r="A285" s="6" t="s">
        <v>767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R285"/>
      <c r="S285"/>
      <c r="T285"/>
      <c r="U285"/>
      <c r="V285"/>
      <c r="W285"/>
      <c r="X285"/>
      <c r="Y285"/>
    </row>
    <row r="286" spans="1:25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R286"/>
      <c r="S286"/>
      <c r="T286"/>
      <c r="U286"/>
      <c r="V286"/>
      <c r="W286"/>
      <c r="X286"/>
      <c r="Y286"/>
    </row>
    <row r="287" spans="1:25">
      <c r="A287" s="6" t="s">
        <v>397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R287"/>
      <c r="S287"/>
      <c r="T287"/>
      <c r="U287"/>
      <c r="V287"/>
      <c r="W287"/>
      <c r="X287"/>
      <c r="Y287"/>
    </row>
    <row r="288" spans="1:25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R288"/>
      <c r="S288"/>
      <c r="T288"/>
      <c r="U288"/>
      <c r="V288"/>
      <c r="W288"/>
      <c r="X288"/>
      <c r="Y288"/>
    </row>
    <row r="289" spans="1:25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R289"/>
      <c r="S289"/>
      <c r="T289"/>
      <c r="U289"/>
      <c r="V289"/>
      <c r="W289"/>
      <c r="X289"/>
      <c r="Y289"/>
    </row>
    <row r="290" spans="1:25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R290"/>
      <c r="S290"/>
      <c r="T290"/>
      <c r="U290"/>
      <c r="V290"/>
      <c r="W290"/>
      <c r="X290"/>
      <c r="Y290"/>
    </row>
    <row r="291" spans="1:25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R291"/>
      <c r="S291"/>
      <c r="T291"/>
      <c r="U291"/>
      <c r="V291"/>
      <c r="W291"/>
      <c r="X291"/>
      <c r="Y291"/>
    </row>
    <row r="292" spans="1:25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R292"/>
      <c r="S292"/>
      <c r="T292"/>
      <c r="U292"/>
      <c r="V292"/>
      <c r="W292"/>
      <c r="X292"/>
      <c r="Y292"/>
    </row>
    <row r="293" spans="1:25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R293"/>
      <c r="S293"/>
      <c r="T293"/>
      <c r="U293"/>
      <c r="V293"/>
      <c r="W293"/>
      <c r="X293"/>
      <c r="Y293"/>
    </row>
    <row r="294" spans="1:25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R294"/>
      <c r="S294"/>
      <c r="T294"/>
      <c r="U294"/>
      <c r="V294"/>
      <c r="W294"/>
      <c r="X294"/>
      <c r="Y294"/>
    </row>
    <row r="295" spans="1:25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R295"/>
      <c r="S295"/>
      <c r="T295"/>
      <c r="U295"/>
      <c r="V295"/>
      <c r="W295"/>
      <c r="X295"/>
      <c r="Y295"/>
    </row>
    <row r="296" spans="1:25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R296"/>
      <c r="S296"/>
      <c r="T296"/>
      <c r="U296"/>
      <c r="V296"/>
      <c r="W296"/>
      <c r="X296"/>
      <c r="Y296"/>
    </row>
    <row r="297" spans="1:25">
      <c r="A297" s="6" t="s">
        <v>398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R297"/>
      <c r="S297"/>
      <c r="T297"/>
      <c r="U297"/>
      <c r="V297"/>
      <c r="W297"/>
      <c r="X297"/>
      <c r="Y297"/>
    </row>
    <row r="298" spans="1:25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R298"/>
      <c r="S298"/>
      <c r="T298"/>
      <c r="U298"/>
      <c r="V298"/>
      <c r="W298"/>
      <c r="X298"/>
      <c r="Y298"/>
    </row>
    <row r="299" spans="1:25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R299"/>
      <c r="S299"/>
      <c r="T299"/>
      <c r="U299"/>
      <c r="V299"/>
      <c r="W299"/>
      <c r="X299"/>
      <c r="Y299"/>
    </row>
    <row r="300" spans="1:25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R300"/>
      <c r="S300"/>
      <c r="T300"/>
      <c r="U300"/>
      <c r="V300"/>
      <c r="W300"/>
      <c r="X300"/>
      <c r="Y300"/>
    </row>
    <row r="301" spans="1:25">
      <c r="A301" s="6" t="s">
        <v>787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R301"/>
      <c r="S301"/>
      <c r="T301"/>
      <c r="U301"/>
      <c r="V301"/>
      <c r="W301"/>
      <c r="X301"/>
      <c r="Y301"/>
    </row>
    <row r="302" spans="1:25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R302"/>
      <c r="S302"/>
      <c r="T302"/>
      <c r="U302"/>
      <c r="V302"/>
      <c r="W302"/>
      <c r="X302"/>
      <c r="Y302"/>
    </row>
    <row r="303" spans="1:25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R303"/>
      <c r="S303"/>
      <c r="T303"/>
      <c r="U303"/>
      <c r="V303"/>
      <c r="W303"/>
      <c r="X303"/>
      <c r="Y303"/>
    </row>
    <row r="304" spans="1:25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R304"/>
      <c r="S304"/>
      <c r="T304"/>
      <c r="U304"/>
      <c r="V304"/>
      <c r="W304"/>
      <c r="X304"/>
      <c r="Y304"/>
    </row>
    <row r="305" spans="1:25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R305"/>
      <c r="S305"/>
      <c r="T305"/>
      <c r="U305"/>
      <c r="V305"/>
      <c r="W305"/>
      <c r="X305"/>
      <c r="Y305"/>
    </row>
    <row r="306" spans="1:25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R306"/>
      <c r="S306"/>
      <c r="T306"/>
      <c r="U306"/>
      <c r="V306"/>
      <c r="W306"/>
      <c r="X306"/>
      <c r="Y306"/>
    </row>
    <row r="307" spans="1:25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R307"/>
      <c r="S307"/>
      <c r="T307"/>
      <c r="U307"/>
      <c r="V307"/>
      <c r="W307"/>
      <c r="X307"/>
      <c r="Y307"/>
    </row>
    <row r="308" spans="1:25">
      <c r="A308" s="6" t="s">
        <v>1332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R308"/>
      <c r="S308"/>
      <c r="T308"/>
      <c r="U308"/>
      <c r="V308"/>
      <c r="W308"/>
      <c r="X308"/>
      <c r="Y308"/>
    </row>
    <row r="309" spans="1:25">
      <c r="A309" s="6" t="s">
        <v>1333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R309"/>
      <c r="S309"/>
      <c r="T309"/>
      <c r="U309"/>
      <c r="V309"/>
      <c r="W309"/>
      <c r="X309"/>
      <c r="Y309"/>
    </row>
    <row r="310" spans="1:25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R310"/>
      <c r="S310"/>
      <c r="T310"/>
      <c r="U310"/>
      <c r="V310"/>
      <c r="W310"/>
      <c r="X310"/>
      <c r="Y310"/>
    </row>
    <row r="311" spans="1:25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R311"/>
      <c r="S311"/>
      <c r="T311"/>
      <c r="U311"/>
      <c r="V311"/>
      <c r="W311"/>
      <c r="X311"/>
      <c r="Y311"/>
    </row>
    <row r="312" spans="1:25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R312"/>
      <c r="S312"/>
      <c r="T312"/>
      <c r="U312"/>
      <c r="V312"/>
      <c r="W312"/>
      <c r="X312"/>
      <c r="Y312"/>
    </row>
    <row r="313" spans="1:25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R313"/>
      <c r="S313"/>
      <c r="T313"/>
      <c r="U313"/>
      <c r="V313"/>
      <c r="W313"/>
      <c r="X313"/>
      <c r="Y313"/>
    </row>
    <row r="314" spans="1:25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R314"/>
      <c r="S314"/>
      <c r="T314"/>
      <c r="U314"/>
      <c r="V314"/>
      <c r="W314"/>
      <c r="X314"/>
      <c r="Y314"/>
    </row>
    <row r="315" spans="1:25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R315"/>
      <c r="S315"/>
      <c r="T315"/>
      <c r="U315"/>
      <c r="V315"/>
      <c r="W315"/>
      <c r="X315"/>
      <c r="Y315"/>
    </row>
    <row r="316" spans="1:25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R316"/>
      <c r="S316"/>
      <c r="T316"/>
      <c r="U316"/>
      <c r="V316"/>
      <c r="W316"/>
      <c r="X316"/>
      <c r="Y316"/>
    </row>
    <row r="317" spans="1:25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R317"/>
      <c r="S317"/>
      <c r="T317"/>
      <c r="U317"/>
      <c r="V317"/>
      <c r="W317"/>
      <c r="X317"/>
      <c r="Y317"/>
    </row>
    <row r="318" spans="1:25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R318"/>
      <c r="S318"/>
      <c r="T318"/>
      <c r="U318"/>
      <c r="V318"/>
      <c r="W318"/>
      <c r="X318"/>
      <c r="Y318"/>
    </row>
    <row r="319" spans="1:25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R319"/>
      <c r="S319"/>
      <c r="T319"/>
      <c r="U319"/>
      <c r="V319"/>
      <c r="W319"/>
      <c r="X319"/>
      <c r="Y319"/>
    </row>
    <row r="320" spans="1:25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R320"/>
      <c r="S320"/>
      <c r="T320"/>
      <c r="U320"/>
      <c r="V320"/>
      <c r="W320"/>
      <c r="X320"/>
      <c r="Y320"/>
    </row>
    <row r="321" spans="1:25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R321"/>
      <c r="S321"/>
      <c r="T321"/>
      <c r="U321"/>
      <c r="V321"/>
      <c r="W321"/>
      <c r="X321"/>
      <c r="Y321"/>
    </row>
    <row r="322" spans="1:25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R322"/>
      <c r="S322"/>
      <c r="T322"/>
      <c r="U322"/>
      <c r="V322"/>
      <c r="W322"/>
      <c r="X322"/>
      <c r="Y322"/>
    </row>
    <row r="323" spans="1:25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R323"/>
      <c r="S323"/>
      <c r="T323"/>
      <c r="U323"/>
      <c r="V323"/>
      <c r="W323"/>
      <c r="X323"/>
      <c r="Y323"/>
    </row>
    <row r="324" spans="1:25">
      <c r="A324" s="6" t="s">
        <v>1334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R324"/>
      <c r="S324"/>
      <c r="T324"/>
      <c r="U324"/>
      <c r="V324"/>
      <c r="W324"/>
      <c r="X324"/>
      <c r="Y324"/>
    </row>
    <row r="325" spans="1:25">
      <c r="A325" s="6" t="s">
        <v>1335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R325"/>
      <c r="S325"/>
      <c r="T325"/>
      <c r="U325"/>
      <c r="V325"/>
      <c r="W325"/>
      <c r="X325"/>
      <c r="Y325"/>
    </row>
    <row r="326" spans="1:25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R326"/>
      <c r="S326"/>
      <c r="T326"/>
      <c r="U326"/>
      <c r="V326"/>
      <c r="W326"/>
      <c r="X326"/>
      <c r="Y326"/>
    </row>
    <row r="327" spans="1:25">
      <c r="A327" s="6" t="s">
        <v>1336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R327"/>
      <c r="S327"/>
      <c r="T327"/>
      <c r="U327"/>
      <c r="V327"/>
      <c r="W327"/>
      <c r="X327"/>
      <c r="Y327"/>
    </row>
    <row r="328" spans="1:25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R328"/>
      <c r="S328"/>
      <c r="T328"/>
      <c r="U328"/>
      <c r="V328"/>
      <c r="W328"/>
      <c r="X328"/>
      <c r="Y328"/>
    </row>
    <row r="329" spans="1:25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R329"/>
      <c r="S329"/>
      <c r="T329"/>
      <c r="U329"/>
      <c r="V329"/>
      <c r="W329"/>
      <c r="X329"/>
      <c r="Y329"/>
    </row>
    <row r="330" spans="1:25">
      <c r="A330" s="6" t="s">
        <v>1337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R330"/>
      <c r="S330"/>
      <c r="T330"/>
      <c r="U330"/>
      <c r="V330"/>
      <c r="W330"/>
      <c r="X330"/>
      <c r="Y330"/>
    </row>
    <row r="331" spans="1:25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R331"/>
      <c r="S331"/>
      <c r="T331"/>
      <c r="U331"/>
      <c r="V331"/>
      <c r="W331"/>
      <c r="X331"/>
      <c r="Y331"/>
    </row>
    <row r="332" spans="1:25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R332"/>
      <c r="S332"/>
      <c r="T332"/>
      <c r="U332"/>
      <c r="V332"/>
      <c r="W332"/>
      <c r="X332"/>
      <c r="Y332"/>
    </row>
    <row r="333" spans="1:25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R333"/>
      <c r="S333"/>
      <c r="T333"/>
      <c r="U333"/>
      <c r="V333"/>
      <c r="W333"/>
      <c r="X333"/>
      <c r="Y333"/>
    </row>
    <row r="334" spans="1:25">
      <c r="A334" s="6" t="s">
        <v>1338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R334"/>
      <c r="S334"/>
      <c r="T334"/>
      <c r="U334"/>
      <c r="V334"/>
      <c r="W334"/>
      <c r="X334"/>
      <c r="Y334"/>
    </row>
    <row r="335" spans="1:25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R335"/>
      <c r="S335"/>
      <c r="T335"/>
      <c r="U335"/>
      <c r="V335"/>
      <c r="W335"/>
      <c r="X335"/>
      <c r="Y335"/>
    </row>
    <row r="336" spans="1:25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R336"/>
      <c r="S336"/>
      <c r="T336"/>
      <c r="U336"/>
      <c r="V336"/>
      <c r="W336"/>
      <c r="X336"/>
      <c r="Y336"/>
    </row>
    <row r="337" spans="1:25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R337"/>
      <c r="S337"/>
      <c r="T337"/>
      <c r="U337"/>
      <c r="V337"/>
      <c r="W337"/>
      <c r="X337"/>
      <c r="Y337"/>
    </row>
    <row r="338" spans="1:25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R338"/>
      <c r="S338"/>
      <c r="T338"/>
      <c r="U338"/>
      <c r="V338"/>
      <c r="W338"/>
      <c r="X338"/>
      <c r="Y338"/>
    </row>
    <row r="339" spans="1:25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R339"/>
      <c r="S339"/>
      <c r="T339"/>
      <c r="U339"/>
      <c r="V339"/>
      <c r="W339"/>
      <c r="X339"/>
      <c r="Y339"/>
    </row>
    <row r="340" spans="1:25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R340"/>
      <c r="S340"/>
      <c r="T340"/>
      <c r="U340"/>
      <c r="V340"/>
      <c r="W340"/>
      <c r="X340"/>
      <c r="Y340"/>
    </row>
    <row r="341" spans="1:25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R341"/>
      <c r="S341"/>
      <c r="T341"/>
      <c r="U341"/>
      <c r="V341"/>
      <c r="W341"/>
      <c r="X341"/>
      <c r="Y341"/>
    </row>
    <row r="342" spans="1:25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R342"/>
      <c r="S342"/>
      <c r="T342"/>
      <c r="U342"/>
      <c r="V342"/>
      <c r="W342"/>
      <c r="X342"/>
      <c r="Y342"/>
    </row>
    <row r="343" spans="1:25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R343"/>
      <c r="S343"/>
      <c r="T343"/>
      <c r="U343"/>
      <c r="V343"/>
      <c r="W343"/>
      <c r="X343"/>
      <c r="Y343"/>
    </row>
    <row r="344" spans="1:25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R344"/>
      <c r="S344"/>
      <c r="T344"/>
      <c r="U344"/>
      <c r="V344"/>
      <c r="W344"/>
      <c r="X344"/>
      <c r="Y344"/>
    </row>
    <row r="345" spans="1:25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R345"/>
      <c r="S345"/>
      <c r="T345"/>
      <c r="U345"/>
      <c r="V345"/>
      <c r="W345"/>
      <c r="X345"/>
      <c r="Y345"/>
    </row>
    <row r="346" spans="1:25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R346"/>
      <c r="S346"/>
      <c r="T346"/>
      <c r="U346"/>
      <c r="V346"/>
      <c r="W346"/>
      <c r="X346"/>
      <c r="Y346"/>
    </row>
    <row r="347" spans="1:25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R347"/>
      <c r="S347"/>
      <c r="T347"/>
      <c r="U347"/>
      <c r="V347"/>
      <c r="W347"/>
      <c r="X347"/>
      <c r="Y347"/>
    </row>
    <row r="348" spans="1:25">
      <c r="A348" s="6" t="s">
        <v>1339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R348"/>
      <c r="S348"/>
      <c r="T348"/>
      <c r="U348"/>
      <c r="V348"/>
      <c r="W348"/>
      <c r="X348"/>
      <c r="Y348"/>
    </row>
    <row r="349" spans="1:25">
      <c r="A349" s="6" t="s">
        <v>1340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R349"/>
      <c r="S349"/>
      <c r="T349"/>
      <c r="U349"/>
      <c r="V349"/>
      <c r="W349"/>
      <c r="X349"/>
      <c r="Y349"/>
    </row>
    <row r="350" spans="1:25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R350"/>
      <c r="S350"/>
      <c r="T350"/>
      <c r="U350"/>
      <c r="V350"/>
      <c r="W350"/>
      <c r="X350"/>
      <c r="Y350"/>
    </row>
    <row r="351" spans="1:25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R351"/>
      <c r="S351"/>
      <c r="T351"/>
      <c r="U351"/>
      <c r="V351"/>
      <c r="W351"/>
      <c r="X351"/>
      <c r="Y351"/>
    </row>
    <row r="352" spans="1:25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R352"/>
      <c r="S352"/>
      <c r="T352"/>
      <c r="U352"/>
      <c r="V352"/>
      <c r="W352"/>
      <c r="X352"/>
      <c r="Y352"/>
    </row>
    <row r="353" spans="1:25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R353"/>
      <c r="S353"/>
      <c r="T353"/>
      <c r="U353"/>
      <c r="V353"/>
      <c r="W353"/>
      <c r="X353"/>
      <c r="Y353"/>
    </row>
    <row r="354" spans="1:25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R354"/>
      <c r="S354"/>
      <c r="T354"/>
      <c r="U354"/>
      <c r="V354"/>
      <c r="W354"/>
      <c r="X354"/>
      <c r="Y354"/>
    </row>
    <row r="355" spans="1:25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R355"/>
      <c r="S355"/>
      <c r="T355"/>
      <c r="U355"/>
      <c r="V355"/>
      <c r="W355"/>
      <c r="X355"/>
      <c r="Y355"/>
    </row>
    <row r="356" spans="1:25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R356"/>
      <c r="S356"/>
      <c r="T356"/>
      <c r="U356"/>
      <c r="V356"/>
      <c r="W356"/>
      <c r="X356"/>
      <c r="Y356"/>
    </row>
    <row r="357" spans="1:25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R357"/>
      <c r="S357"/>
      <c r="T357"/>
      <c r="U357"/>
      <c r="V357"/>
      <c r="W357"/>
      <c r="X357"/>
      <c r="Y357"/>
    </row>
    <row r="358" spans="1:25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R358"/>
      <c r="S358"/>
      <c r="T358"/>
      <c r="U358"/>
      <c r="V358"/>
      <c r="W358"/>
      <c r="X358"/>
      <c r="Y358"/>
    </row>
    <row r="359" spans="1:25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R359"/>
      <c r="S359"/>
      <c r="T359"/>
      <c r="U359"/>
      <c r="V359"/>
      <c r="W359"/>
      <c r="X359"/>
      <c r="Y359"/>
    </row>
    <row r="360" spans="1:25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R360"/>
      <c r="S360"/>
      <c r="T360"/>
      <c r="U360"/>
      <c r="V360"/>
      <c r="W360"/>
      <c r="X360"/>
      <c r="Y360"/>
    </row>
    <row r="361" spans="1:25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R361"/>
      <c r="S361"/>
      <c r="T361"/>
      <c r="U361"/>
      <c r="V361"/>
      <c r="W361"/>
      <c r="X361"/>
      <c r="Y361"/>
    </row>
    <row r="362" spans="1:25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R362"/>
      <c r="S362"/>
      <c r="T362"/>
      <c r="U362"/>
      <c r="V362"/>
      <c r="W362"/>
      <c r="X362"/>
      <c r="Y362"/>
    </row>
    <row r="363" spans="1:25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R363"/>
      <c r="S363"/>
      <c r="T363"/>
      <c r="U363"/>
      <c r="V363"/>
      <c r="W363"/>
      <c r="X363"/>
      <c r="Y363"/>
    </row>
    <row r="364" spans="1:25">
      <c r="A364" s="6" t="s">
        <v>1341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R364"/>
      <c r="S364"/>
      <c r="T364"/>
      <c r="U364"/>
      <c r="V364"/>
      <c r="W364"/>
      <c r="X364"/>
      <c r="Y364"/>
    </row>
    <row r="365" spans="1:25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R365"/>
      <c r="S365"/>
      <c r="T365"/>
      <c r="U365"/>
      <c r="V365"/>
      <c r="W365"/>
      <c r="X365"/>
      <c r="Y365"/>
    </row>
    <row r="366" spans="1:25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R366"/>
      <c r="S366"/>
      <c r="T366"/>
      <c r="U366"/>
      <c r="V366"/>
      <c r="W366"/>
      <c r="X366"/>
      <c r="Y366"/>
    </row>
    <row r="367" spans="1:25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R367"/>
      <c r="S367"/>
      <c r="T367"/>
      <c r="U367"/>
      <c r="V367"/>
      <c r="W367"/>
      <c r="X367"/>
      <c r="Y367"/>
    </row>
    <row r="368" spans="1:25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R368"/>
      <c r="S368"/>
      <c r="T368"/>
      <c r="U368"/>
      <c r="V368"/>
      <c r="W368"/>
      <c r="X368"/>
      <c r="Y368"/>
    </row>
    <row r="369" spans="1:25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R369"/>
      <c r="S369"/>
      <c r="T369"/>
      <c r="U369"/>
      <c r="V369"/>
      <c r="W369"/>
      <c r="X369"/>
      <c r="Y369"/>
    </row>
    <row r="370" spans="1:25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R370"/>
      <c r="S370"/>
      <c r="T370"/>
      <c r="U370"/>
      <c r="V370"/>
      <c r="W370"/>
      <c r="X370"/>
      <c r="Y370"/>
    </row>
    <row r="371" spans="1:25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R371"/>
      <c r="S371"/>
      <c r="T371"/>
      <c r="U371"/>
      <c r="V371"/>
      <c r="W371"/>
      <c r="X371"/>
      <c r="Y371"/>
    </row>
    <row r="372" spans="1:25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R372"/>
      <c r="S372"/>
      <c r="T372"/>
      <c r="U372"/>
      <c r="V372"/>
      <c r="W372"/>
      <c r="X372"/>
      <c r="Y372"/>
    </row>
    <row r="373" spans="1:25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R373"/>
      <c r="S373"/>
      <c r="T373"/>
      <c r="U373"/>
      <c r="V373"/>
      <c r="W373"/>
      <c r="X373"/>
      <c r="Y373"/>
    </row>
    <row r="374" spans="1:25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R374"/>
      <c r="S374"/>
      <c r="T374"/>
      <c r="U374"/>
      <c r="V374"/>
      <c r="W374"/>
      <c r="X374"/>
      <c r="Y374"/>
    </row>
    <row r="375" spans="1:25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R375"/>
      <c r="S375"/>
      <c r="T375"/>
      <c r="U375"/>
      <c r="V375"/>
      <c r="W375"/>
      <c r="X375"/>
      <c r="Y375"/>
    </row>
    <row r="376" spans="1:25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R376"/>
      <c r="S376"/>
      <c r="T376"/>
      <c r="U376"/>
      <c r="V376"/>
      <c r="W376"/>
      <c r="X376"/>
      <c r="Y376"/>
    </row>
    <row r="377" spans="1:25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R377"/>
      <c r="S377"/>
      <c r="T377"/>
      <c r="U377"/>
      <c r="V377"/>
      <c r="W377"/>
      <c r="X377"/>
      <c r="Y377"/>
    </row>
    <row r="378" spans="1:25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R378"/>
      <c r="S378"/>
      <c r="T378"/>
      <c r="U378"/>
      <c r="V378"/>
      <c r="W378"/>
      <c r="X378"/>
      <c r="Y378"/>
    </row>
    <row r="379" spans="1:25">
      <c r="A379" s="6" t="s">
        <v>399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R379"/>
      <c r="S379"/>
      <c r="T379"/>
      <c r="U379"/>
      <c r="V379"/>
      <c r="W379"/>
      <c r="X379"/>
      <c r="Y379"/>
    </row>
    <row r="380" spans="1:25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R380"/>
      <c r="S380"/>
      <c r="T380"/>
      <c r="U380"/>
      <c r="V380"/>
      <c r="W380"/>
      <c r="X380"/>
      <c r="Y380"/>
    </row>
    <row r="381" spans="1:25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R381"/>
      <c r="S381"/>
      <c r="T381"/>
      <c r="U381"/>
      <c r="V381"/>
      <c r="W381"/>
      <c r="X381"/>
      <c r="Y381"/>
    </row>
    <row r="382" spans="1:25">
      <c r="A382" s="6" t="s">
        <v>2045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R382"/>
      <c r="S382"/>
      <c r="T382"/>
      <c r="U382"/>
      <c r="V382"/>
      <c r="W382"/>
      <c r="X382"/>
      <c r="Y382"/>
    </row>
    <row r="383" spans="1:25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R383"/>
      <c r="S383"/>
      <c r="T383"/>
      <c r="U383"/>
      <c r="V383"/>
      <c r="W383"/>
      <c r="X383"/>
      <c r="Y383"/>
    </row>
    <row r="384" spans="1:25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R384"/>
      <c r="S384"/>
      <c r="T384"/>
      <c r="U384"/>
      <c r="V384"/>
      <c r="W384"/>
      <c r="X384"/>
      <c r="Y384"/>
    </row>
    <row r="385" spans="1:25">
      <c r="A385" s="6" t="s">
        <v>768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R385"/>
      <c r="S385"/>
      <c r="T385"/>
      <c r="U385"/>
      <c r="V385"/>
      <c r="W385"/>
      <c r="X385"/>
      <c r="Y385"/>
    </row>
    <row r="386" spans="1:25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R386"/>
      <c r="S386"/>
      <c r="T386"/>
      <c r="U386"/>
      <c r="V386"/>
      <c r="W386"/>
      <c r="X386"/>
      <c r="Y386"/>
    </row>
    <row r="387" spans="1:25">
      <c r="A387" s="6" t="s">
        <v>400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R387"/>
      <c r="S387"/>
      <c r="T387"/>
      <c r="U387"/>
      <c r="V387"/>
      <c r="W387"/>
      <c r="X387"/>
      <c r="Y387"/>
    </row>
    <row r="388" spans="1:25">
      <c r="A388" s="6" t="s">
        <v>413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R388"/>
      <c r="S388"/>
      <c r="T388"/>
      <c r="U388"/>
      <c r="V388"/>
      <c r="W388"/>
      <c r="X388"/>
      <c r="Y388"/>
    </row>
    <row r="389" spans="1:25">
      <c r="A389" s="6" t="s">
        <v>471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R389"/>
      <c r="S389"/>
    </row>
    <row r="390" spans="1:25">
      <c r="A390" s="6" t="s">
        <v>401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R390"/>
      <c r="S390"/>
    </row>
    <row r="391" spans="1:25">
      <c r="A391" s="6" t="s">
        <v>414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R391"/>
      <c r="S391"/>
    </row>
    <row r="392" spans="1:25">
      <c r="A392" s="6" t="s">
        <v>472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R392"/>
      <c r="S392"/>
    </row>
    <row r="393" spans="1:25">
      <c r="A393" s="6" t="s">
        <v>415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R393"/>
      <c r="S393"/>
    </row>
    <row r="394" spans="1:25">
      <c r="A394" s="6" t="s">
        <v>416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R394"/>
      <c r="S394"/>
    </row>
    <row r="395" spans="1:25">
      <c r="A395" s="6" t="s">
        <v>407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R395"/>
      <c r="S395"/>
    </row>
    <row r="396" spans="1:25">
      <c r="A396" s="6" t="s">
        <v>417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R396"/>
      <c r="S396"/>
    </row>
    <row r="397" spans="1:25">
      <c r="A397" s="6" t="s">
        <v>418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R397"/>
      <c r="S397"/>
    </row>
    <row r="398" spans="1:25">
      <c r="A398" s="6" t="s">
        <v>419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R398"/>
      <c r="S398"/>
    </row>
    <row r="399" spans="1:25">
      <c r="A399" s="6" t="s">
        <v>402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R399"/>
      <c r="S399"/>
    </row>
    <row r="400" spans="1:25">
      <c r="A400" s="6" t="s">
        <v>420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R400"/>
      <c r="S400"/>
    </row>
    <row r="401" spans="1:19">
      <c r="A401" s="6" t="s">
        <v>421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R401"/>
      <c r="S401"/>
    </row>
    <row r="402" spans="1:19">
      <c r="A402" s="6" t="s">
        <v>788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R402"/>
      <c r="S402"/>
    </row>
    <row r="403" spans="1:19">
      <c r="A403" s="6" t="s">
        <v>422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R403"/>
      <c r="S403"/>
    </row>
    <row r="404" spans="1:19">
      <c r="A404" s="6" t="s">
        <v>423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R404"/>
      <c r="S404"/>
    </row>
    <row r="405" spans="1:19">
      <c r="A405" s="6" t="s">
        <v>424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R405"/>
      <c r="S405"/>
    </row>
    <row r="406" spans="1:19">
      <c r="A406" s="6" t="s">
        <v>473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R406"/>
      <c r="S406"/>
    </row>
    <row r="407" spans="1:19">
      <c r="A407" s="6" t="s">
        <v>425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R407"/>
      <c r="S407"/>
    </row>
    <row r="408" spans="1:19">
      <c r="A408" s="6" t="s">
        <v>426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R408"/>
      <c r="S408"/>
    </row>
    <row r="409" spans="1:19">
      <c r="A409" s="6" t="s">
        <v>1342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R409"/>
      <c r="S409"/>
    </row>
    <row r="410" spans="1:19">
      <c r="A410" s="6" t="s">
        <v>1343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R410"/>
      <c r="S410"/>
    </row>
    <row r="411" spans="1:19">
      <c r="A411" s="6" t="s">
        <v>427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R411"/>
      <c r="S411"/>
    </row>
    <row r="412" spans="1:19">
      <c r="A412" s="6" t="s">
        <v>428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R412"/>
      <c r="S412"/>
    </row>
    <row r="413" spans="1:19">
      <c r="A413" s="6" t="s">
        <v>429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R413"/>
      <c r="S413"/>
    </row>
    <row r="414" spans="1:19">
      <c r="A414" s="6" t="s">
        <v>408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R414"/>
      <c r="S414"/>
    </row>
    <row r="415" spans="1:19">
      <c r="A415" s="6" t="s">
        <v>430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R415"/>
      <c r="S415"/>
    </row>
    <row r="416" spans="1:19">
      <c r="A416" s="6" t="s">
        <v>409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R416"/>
      <c r="S416"/>
    </row>
    <row r="417" spans="1:19">
      <c r="A417" s="6" t="s">
        <v>431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R417"/>
      <c r="S417"/>
    </row>
    <row r="418" spans="1:19">
      <c r="A418" s="6" t="s">
        <v>432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R418"/>
      <c r="S418"/>
    </row>
    <row r="419" spans="1:19">
      <c r="A419" s="6" t="s">
        <v>474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R419"/>
      <c r="S419"/>
    </row>
    <row r="420" spans="1:19">
      <c r="A420" s="6" t="s">
        <v>433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R420"/>
      <c r="S420"/>
    </row>
    <row r="421" spans="1:19">
      <c r="A421" s="6" t="s">
        <v>434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R421"/>
      <c r="S421"/>
    </row>
    <row r="422" spans="1:19">
      <c r="A422" s="6" t="s">
        <v>410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R422"/>
      <c r="S422"/>
    </row>
    <row r="423" spans="1:19">
      <c r="A423" s="6" t="s">
        <v>403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R423"/>
      <c r="S423"/>
    </row>
    <row r="424" spans="1:19">
      <c r="A424" s="6" t="s">
        <v>404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R424"/>
      <c r="S424"/>
    </row>
    <row r="425" spans="1:19">
      <c r="A425" s="6" t="s">
        <v>1344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R425"/>
      <c r="S425"/>
    </row>
    <row r="426" spans="1:19">
      <c r="A426" s="6" t="s">
        <v>1345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R426"/>
      <c r="S426"/>
    </row>
    <row r="427" spans="1:19">
      <c r="A427" s="6" t="s">
        <v>435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R427"/>
      <c r="S427"/>
    </row>
    <row r="428" spans="1:19">
      <c r="A428" s="6" t="s">
        <v>1346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R428"/>
      <c r="S428"/>
    </row>
    <row r="429" spans="1:19">
      <c r="A429" s="6" t="s">
        <v>475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R429"/>
      <c r="S429"/>
    </row>
    <row r="430" spans="1:19">
      <c r="A430" s="6" t="s">
        <v>436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R430"/>
      <c r="S430"/>
    </row>
    <row r="431" spans="1:19">
      <c r="A431" s="6" t="s">
        <v>1347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R431"/>
      <c r="S431"/>
    </row>
    <row r="432" spans="1:19">
      <c r="A432" s="6" t="s">
        <v>476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R432"/>
      <c r="S432"/>
    </row>
    <row r="433" spans="1:19">
      <c r="A433" s="6" t="s">
        <v>437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R433"/>
      <c r="S433"/>
    </row>
    <row r="434" spans="1:19">
      <c r="A434" s="6" t="s">
        <v>438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R434"/>
      <c r="S434"/>
    </row>
    <row r="435" spans="1:19">
      <c r="A435" s="6" t="s">
        <v>1348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R435"/>
      <c r="S435"/>
    </row>
    <row r="436" spans="1:19">
      <c r="A436" s="6" t="s">
        <v>477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R436"/>
      <c r="S436"/>
    </row>
    <row r="437" spans="1:19">
      <c r="A437" s="6" t="s">
        <v>439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R437"/>
      <c r="S437"/>
    </row>
    <row r="438" spans="1:19">
      <c r="A438" s="6" t="s">
        <v>440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R438"/>
      <c r="S438"/>
    </row>
    <row r="439" spans="1:19">
      <c r="A439" s="6" t="s">
        <v>441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R439"/>
      <c r="S439"/>
    </row>
    <row r="440" spans="1:19">
      <c r="A440" s="6" t="s">
        <v>442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R440"/>
      <c r="S440"/>
    </row>
    <row r="441" spans="1:19">
      <c r="A441" s="6" t="s">
        <v>443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R441"/>
      <c r="S441"/>
    </row>
    <row r="442" spans="1:19">
      <c r="A442" s="6" t="s">
        <v>444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R442"/>
      <c r="S442"/>
    </row>
    <row r="443" spans="1:19">
      <c r="A443" s="6" t="s">
        <v>445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R443"/>
      <c r="S443"/>
    </row>
    <row r="444" spans="1:19">
      <c r="A444" s="6" t="s">
        <v>446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R444"/>
      <c r="S444"/>
    </row>
    <row r="445" spans="1:19">
      <c r="A445" s="6" t="s">
        <v>447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R445"/>
      <c r="S445"/>
    </row>
    <row r="446" spans="1:19">
      <c r="A446" s="6" t="s">
        <v>448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R446"/>
      <c r="S446"/>
    </row>
    <row r="447" spans="1:19">
      <c r="A447" s="6" t="s">
        <v>478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R447"/>
      <c r="S447"/>
    </row>
    <row r="448" spans="1:19">
      <c r="A448" s="6" t="s">
        <v>405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R448"/>
      <c r="S448"/>
    </row>
    <row r="449" spans="1:19">
      <c r="A449" s="6" t="s">
        <v>1349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R449"/>
      <c r="S449"/>
    </row>
    <row r="450" spans="1:19">
      <c r="A450" s="6" t="s">
        <v>1350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R450"/>
      <c r="S450"/>
    </row>
    <row r="451" spans="1:19">
      <c r="A451" s="6" t="s">
        <v>449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R451"/>
      <c r="S451"/>
    </row>
    <row r="452" spans="1:19">
      <c r="A452" s="6" t="s">
        <v>450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R452"/>
      <c r="S452"/>
    </row>
    <row r="453" spans="1:19">
      <c r="A453" s="6" t="s">
        <v>479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R453"/>
      <c r="S453"/>
    </row>
    <row r="454" spans="1:19">
      <c r="A454" s="6" t="s">
        <v>411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R454"/>
      <c r="S454"/>
    </row>
    <row r="455" spans="1:19">
      <c r="A455" s="6" t="s">
        <v>451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R455"/>
      <c r="S455"/>
    </row>
    <row r="456" spans="1:19">
      <c r="A456" s="6" t="s">
        <v>452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R456"/>
      <c r="S456"/>
    </row>
    <row r="457" spans="1:19">
      <c r="A457" s="6" t="s">
        <v>453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R457"/>
      <c r="S457"/>
    </row>
    <row r="458" spans="1:19">
      <c r="A458" s="6" t="s">
        <v>454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R458"/>
      <c r="S458"/>
    </row>
    <row r="459" spans="1:19">
      <c r="A459" s="6" t="s">
        <v>455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R459"/>
      <c r="S459"/>
    </row>
    <row r="460" spans="1:19">
      <c r="A460" s="6" t="s">
        <v>480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R460"/>
      <c r="S460"/>
    </row>
    <row r="461" spans="1:19">
      <c r="A461" s="6" t="s">
        <v>481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R461"/>
      <c r="S461"/>
    </row>
    <row r="462" spans="1:19">
      <c r="A462" s="6" t="s">
        <v>482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R462"/>
      <c r="S462"/>
    </row>
    <row r="463" spans="1:19">
      <c r="A463" s="6" t="s">
        <v>456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R463"/>
      <c r="S463"/>
    </row>
    <row r="464" spans="1:19">
      <c r="A464" s="6" t="s">
        <v>483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R464"/>
      <c r="S464"/>
    </row>
    <row r="465" spans="1:19">
      <c r="A465" s="6" t="s">
        <v>1351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R465"/>
      <c r="S465"/>
    </row>
    <row r="466" spans="1:19">
      <c r="A466" s="6" t="s">
        <v>457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R466"/>
      <c r="S466"/>
    </row>
    <row r="467" spans="1:19">
      <c r="A467" s="6" t="s">
        <v>458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R467"/>
      <c r="S467"/>
    </row>
    <row r="468" spans="1:19">
      <c r="A468" s="6" t="s">
        <v>459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R468"/>
      <c r="S468"/>
    </row>
    <row r="469" spans="1:19">
      <c r="A469" s="6" t="s">
        <v>484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R469"/>
      <c r="S469"/>
    </row>
    <row r="470" spans="1:19">
      <c r="A470" s="6" t="s">
        <v>485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R470"/>
      <c r="S470"/>
    </row>
    <row r="471" spans="1:19">
      <c r="A471" s="6" t="s">
        <v>460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R471"/>
      <c r="S471"/>
    </row>
    <row r="472" spans="1:19">
      <c r="A472" s="6" t="s">
        <v>461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R472"/>
      <c r="S472"/>
    </row>
    <row r="473" spans="1:19">
      <c r="A473" s="6" t="s">
        <v>462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R473"/>
      <c r="S473"/>
    </row>
    <row r="474" spans="1:19">
      <c r="A474" s="6" t="s">
        <v>463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R474"/>
      <c r="S474"/>
    </row>
    <row r="475" spans="1:19">
      <c r="A475" s="6" t="s">
        <v>464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R475"/>
      <c r="S475"/>
    </row>
    <row r="476" spans="1:19">
      <c r="A476" s="6" t="s">
        <v>465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R476"/>
      <c r="S476"/>
    </row>
    <row r="477" spans="1:19">
      <c r="A477" s="6" t="s">
        <v>466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R477"/>
      <c r="S477"/>
    </row>
    <row r="478" spans="1:19">
      <c r="A478" s="6" t="s">
        <v>467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R478"/>
      <c r="S478"/>
    </row>
    <row r="479" spans="1:19">
      <c r="A479" s="6" t="s">
        <v>468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R479"/>
      <c r="S479"/>
    </row>
    <row r="480" spans="1:19">
      <c r="A480" s="6" t="s">
        <v>2047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R480"/>
      <c r="S480"/>
    </row>
    <row r="481" spans="1:19">
      <c r="A481" s="6" t="s">
        <v>469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R481"/>
      <c r="S481"/>
    </row>
    <row r="482" spans="1:19">
      <c r="A482" s="6" t="s">
        <v>486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R482"/>
      <c r="S482"/>
    </row>
    <row r="483" spans="1:19">
      <c r="A483" s="6" t="s">
        <v>2046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R483"/>
      <c r="S483"/>
    </row>
    <row r="484" spans="1:19">
      <c r="A484" s="6" t="s">
        <v>470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R484"/>
      <c r="S484"/>
    </row>
    <row r="485" spans="1:19">
      <c r="A485" s="6" t="s">
        <v>412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R485"/>
      <c r="S485"/>
    </row>
    <row r="486" spans="1:19">
      <c r="A486" s="6" t="s">
        <v>769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R486"/>
      <c r="S486"/>
    </row>
    <row r="487" spans="1:19">
      <c r="A487" s="6" t="s">
        <v>406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R487"/>
      <c r="S487"/>
    </row>
    <row r="488" spans="1:19">
      <c r="A488" s="6" t="s">
        <v>513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R488"/>
      <c r="S488"/>
    </row>
    <row r="489" spans="1:19">
      <c r="A489" s="6" t="s">
        <v>592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R489"/>
      <c r="S489"/>
    </row>
    <row r="490" spans="1:19">
      <c r="A490" s="6" t="s">
        <v>514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R490"/>
      <c r="S490"/>
    </row>
    <row r="491" spans="1:19">
      <c r="A491" s="6" t="s">
        <v>515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R491"/>
      <c r="S491"/>
    </row>
    <row r="492" spans="1:19">
      <c r="A492" s="6" t="s">
        <v>578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R492"/>
      <c r="S492"/>
    </row>
    <row r="493" spans="1:19">
      <c r="A493" s="6" t="s">
        <v>516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R493"/>
      <c r="S493"/>
    </row>
    <row r="494" spans="1:19">
      <c r="A494" s="6" t="s">
        <v>517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R494"/>
      <c r="S494"/>
    </row>
    <row r="495" spans="1:19">
      <c r="A495" s="6" t="s">
        <v>518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R495"/>
      <c r="S495"/>
    </row>
    <row r="496" spans="1:19">
      <c r="A496" s="6" t="s">
        <v>579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R496"/>
      <c r="S496"/>
    </row>
    <row r="497" spans="1:19">
      <c r="A497" s="6" t="s">
        <v>580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R497"/>
      <c r="S497"/>
    </row>
    <row r="498" spans="1:19">
      <c r="A498" s="6" t="s">
        <v>508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R498"/>
      <c r="S498"/>
    </row>
    <row r="499" spans="1:19">
      <c r="A499" s="6" t="s">
        <v>581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R499"/>
      <c r="S499"/>
    </row>
    <row r="500" spans="1:19">
      <c r="A500" s="6" t="s">
        <v>519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R500"/>
      <c r="S500"/>
    </row>
    <row r="501" spans="1:19">
      <c r="A501" s="6" t="s">
        <v>520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R501"/>
      <c r="S501"/>
    </row>
    <row r="502" spans="1:19">
      <c r="A502" s="6" t="s">
        <v>789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R502"/>
      <c r="S502"/>
    </row>
    <row r="503" spans="1:19">
      <c r="A503" s="6" t="s">
        <v>521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R503"/>
      <c r="S503"/>
    </row>
    <row r="504" spans="1:19">
      <c r="A504" s="6" t="s">
        <v>582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R504"/>
      <c r="S504"/>
    </row>
    <row r="505" spans="1:19">
      <c r="A505" s="6" t="s">
        <v>522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R505"/>
      <c r="S505"/>
    </row>
    <row r="506" spans="1:19">
      <c r="A506" s="6" t="s">
        <v>523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R506"/>
      <c r="S506"/>
    </row>
    <row r="507" spans="1:19">
      <c r="A507" s="6" t="s">
        <v>591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R507"/>
      <c r="S507"/>
    </row>
    <row r="508" spans="1:19">
      <c r="A508" s="6" t="s">
        <v>524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R508"/>
      <c r="S508"/>
    </row>
    <row r="509" spans="1:19">
      <c r="A509" s="6" t="s">
        <v>1352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R509"/>
      <c r="S509"/>
    </row>
    <row r="510" spans="1:19">
      <c r="A510" s="6" t="s">
        <v>1353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R510"/>
      <c r="S510"/>
    </row>
    <row r="511" spans="1:19">
      <c r="A511" s="6" t="s">
        <v>525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R511"/>
      <c r="S511"/>
    </row>
    <row r="512" spans="1:19">
      <c r="A512" s="6" t="s">
        <v>526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R512"/>
      <c r="S512"/>
    </row>
    <row r="513" spans="1:19">
      <c r="A513" s="6" t="s">
        <v>583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R513"/>
      <c r="S513"/>
    </row>
    <row r="514" spans="1:19">
      <c r="A514" s="6" t="s">
        <v>527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R514"/>
      <c r="S514"/>
    </row>
    <row r="515" spans="1:19">
      <c r="A515" s="6" t="s">
        <v>528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R515"/>
      <c r="S515"/>
    </row>
    <row r="516" spans="1:19">
      <c r="A516" s="6" t="s">
        <v>509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R516"/>
      <c r="S516"/>
    </row>
    <row r="517" spans="1:19">
      <c r="A517" s="6" t="s">
        <v>510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R517"/>
      <c r="S517"/>
    </row>
    <row r="518" spans="1:19">
      <c r="A518" s="6" t="s">
        <v>529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R518"/>
      <c r="S518"/>
    </row>
    <row r="519" spans="1:19">
      <c r="A519" s="6" t="s">
        <v>530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R519"/>
      <c r="S519"/>
    </row>
    <row r="520" spans="1:19">
      <c r="A520" s="6" t="s">
        <v>584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R520"/>
      <c r="S520"/>
    </row>
    <row r="521" spans="1:19">
      <c r="A521" s="6" t="s">
        <v>531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R521"/>
      <c r="S521"/>
    </row>
    <row r="522" spans="1:19">
      <c r="A522" s="6" t="s">
        <v>593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R522"/>
      <c r="S522"/>
    </row>
    <row r="523" spans="1:19">
      <c r="A523" s="6" t="s">
        <v>532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R523"/>
      <c r="S523"/>
    </row>
    <row r="524" spans="1:19">
      <c r="A524" s="6" t="s">
        <v>533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R524"/>
      <c r="S524"/>
    </row>
    <row r="525" spans="1:19">
      <c r="A525" s="6" t="s">
        <v>1354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R525"/>
      <c r="S525"/>
    </row>
    <row r="526" spans="1:19">
      <c r="A526" s="6" t="s">
        <v>1355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R526"/>
      <c r="S526"/>
    </row>
    <row r="527" spans="1:19">
      <c r="A527" s="6" t="s">
        <v>534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R527"/>
      <c r="S527"/>
    </row>
    <row r="528" spans="1:19">
      <c r="A528" s="6" t="s">
        <v>1356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R528"/>
      <c r="S528"/>
    </row>
    <row r="529" spans="1:19">
      <c r="A529" s="6" t="s">
        <v>535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R529"/>
      <c r="S529"/>
    </row>
    <row r="530" spans="1:19">
      <c r="A530" s="6" t="s">
        <v>536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R530"/>
      <c r="S530"/>
    </row>
    <row r="531" spans="1:19">
      <c r="A531" s="6" t="s">
        <v>1357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R531"/>
      <c r="S531"/>
    </row>
    <row r="532" spans="1:19">
      <c r="A532" s="6" t="s">
        <v>537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R532"/>
      <c r="S532"/>
    </row>
    <row r="533" spans="1:19">
      <c r="A533" s="6" t="s">
        <v>538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R533"/>
      <c r="S533"/>
    </row>
    <row r="534" spans="1:19">
      <c r="A534" s="6" t="s">
        <v>511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R534"/>
      <c r="S534"/>
    </row>
    <row r="535" spans="1:19">
      <c r="A535" s="6" t="s">
        <v>1358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R535"/>
      <c r="S535"/>
    </row>
    <row r="536" spans="1:19">
      <c r="A536" s="6" t="s">
        <v>539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R536"/>
      <c r="S536"/>
    </row>
    <row r="537" spans="1:19">
      <c r="A537" s="6" t="s">
        <v>540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R537"/>
      <c r="S537"/>
    </row>
    <row r="538" spans="1:19">
      <c r="A538" s="6" t="s">
        <v>541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R538"/>
      <c r="S538"/>
    </row>
    <row r="539" spans="1:19">
      <c r="A539" s="6" t="s">
        <v>542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R539"/>
      <c r="S539"/>
    </row>
    <row r="540" spans="1:19">
      <c r="A540" s="6" t="s">
        <v>512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R540"/>
      <c r="S540"/>
    </row>
    <row r="541" spans="1:19">
      <c r="A541" s="6" t="s">
        <v>543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R541"/>
      <c r="S541"/>
    </row>
    <row r="542" spans="1:19">
      <c r="A542" s="6" t="s">
        <v>544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R542"/>
      <c r="S542"/>
    </row>
    <row r="543" spans="1:19">
      <c r="A543" s="6" t="s">
        <v>585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R543"/>
      <c r="S543"/>
    </row>
    <row r="544" spans="1:19">
      <c r="A544" s="6" t="s">
        <v>545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R544"/>
      <c r="S544"/>
    </row>
    <row r="545" spans="1:19">
      <c r="A545" s="6" t="s">
        <v>546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R545"/>
      <c r="S545"/>
    </row>
    <row r="546" spans="1:19">
      <c r="A546" s="6" t="s">
        <v>547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R546"/>
      <c r="S546"/>
    </row>
    <row r="547" spans="1:19">
      <c r="A547" s="6" t="s">
        <v>548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R547"/>
      <c r="S547"/>
    </row>
    <row r="548" spans="1:19">
      <c r="A548" s="6" t="s">
        <v>549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R548"/>
      <c r="S548"/>
    </row>
    <row r="549" spans="1:19">
      <c r="A549" s="6" t="s">
        <v>1359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R549"/>
      <c r="S549"/>
    </row>
    <row r="550" spans="1:19">
      <c r="A550" s="6" t="s">
        <v>1360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R550"/>
      <c r="S550"/>
    </row>
    <row r="551" spans="1:19">
      <c r="A551" s="6" t="s">
        <v>550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R551"/>
      <c r="S551"/>
    </row>
    <row r="552" spans="1:19">
      <c r="A552" s="6" t="s">
        <v>586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R552"/>
      <c r="S552"/>
    </row>
    <row r="553" spans="1:19">
      <c r="A553" s="6" t="s">
        <v>551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R553"/>
      <c r="S553"/>
    </row>
    <row r="554" spans="1:19">
      <c r="A554" s="6" t="s">
        <v>552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R554"/>
      <c r="S554"/>
    </row>
    <row r="555" spans="1:19">
      <c r="A555" s="6" t="s">
        <v>587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R555"/>
      <c r="S555"/>
    </row>
    <row r="556" spans="1:19">
      <c r="A556" s="6" t="s">
        <v>553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R556"/>
      <c r="S556"/>
    </row>
    <row r="557" spans="1:19">
      <c r="A557" s="6" t="s">
        <v>554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R557"/>
      <c r="S557"/>
    </row>
    <row r="558" spans="1:19">
      <c r="A558" s="6" t="s">
        <v>555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R558"/>
      <c r="S558"/>
    </row>
    <row r="559" spans="1:19">
      <c r="A559" s="6" t="s">
        <v>556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R559"/>
      <c r="S559"/>
    </row>
    <row r="560" spans="1:19">
      <c r="A560" s="6" t="s">
        <v>557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R560"/>
      <c r="S560"/>
    </row>
    <row r="561" spans="1:19">
      <c r="A561" s="6" t="s">
        <v>588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R561"/>
      <c r="S561"/>
    </row>
    <row r="562" spans="1:19">
      <c r="A562" s="6" t="s">
        <v>558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R562"/>
      <c r="S562"/>
    </row>
    <row r="563" spans="1:19">
      <c r="A563" s="6" t="s">
        <v>559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R563"/>
      <c r="S563"/>
    </row>
    <row r="564" spans="1:19">
      <c r="A564" s="6" t="s">
        <v>560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R564"/>
      <c r="S564"/>
    </row>
    <row r="565" spans="1:19">
      <c r="A565" s="6" t="s">
        <v>1361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R565"/>
      <c r="S565"/>
    </row>
    <row r="566" spans="1:19">
      <c r="A566" s="6" t="s">
        <v>561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R566"/>
      <c r="S566"/>
    </row>
    <row r="567" spans="1:19">
      <c r="A567" s="6" t="s">
        <v>562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R567"/>
      <c r="S567"/>
    </row>
    <row r="568" spans="1:19">
      <c r="A568" s="6" t="s">
        <v>563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R568"/>
      <c r="S568"/>
    </row>
    <row r="569" spans="1:19">
      <c r="A569" s="6" t="s">
        <v>564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R569"/>
      <c r="S569"/>
    </row>
    <row r="570" spans="1:19">
      <c r="A570" s="6" t="s">
        <v>589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R570"/>
      <c r="S570"/>
    </row>
    <row r="571" spans="1:19">
      <c r="A571" s="6" t="s">
        <v>565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R571"/>
      <c r="S571"/>
    </row>
    <row r="572" spans="1:19">
      <c r="A572" s="6" t="s">
        <v>566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R572"/>
      <c r="S572"/>
    </row>
    <row r="573" spans="1:19">
      <c r="A573" s="6" t="s">
        <v>567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R573"/>
      <c r="S573"/>
    </row>
    <row r="574" spans="1:19">
      <c r="A574" s="6" t="s">
        <v>568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R574"/>
      <c r="S574"/>
    </row>
    <row r="575" spans="1:19">
      <c r="A575" s="6" t="s">
        <v>569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R575"/>
      <c r="S575"/>
    </row>
    <row r="576" spans="1:19">
      <c r="A576" s="6" t="s">
        <v>570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R576"/>
      <c r="S576"/>
    </row>
    <row r="577" spans="1:19">
      <c r="A577" s="6" t="s">
        <v>571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R577"/>
      <c r="S577"/>
    </row>
    <row r="578" spans="1:19">
      <c r="A578" s="6" t="s">
        <v>572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R578"/>
      <c r="S578"/>
    </row>
    <row r="579" spans="1:19">
      <c r="A579" s="6" t="s">
        <v>573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R579"/>
      <c r="S579"/>
    </row>
    <row r="580" spans="1:19">
      <c r="A580" s="6" t="s">
        <v>2049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R580"/>
      <c r="S580"/>
    </row>
    <row r="581" spans="1:19">
      <c r="A581" s="6" t="s">
        <v>574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R581"/>
      <c r="S581"/>
    </row>
    <row r="582" spans="1:19">
      <c r="A582" s="6" t="s">
        <v>575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R582"/>
      <c r="S582"/>
    </row>
    <row r="583" spans="1:19">
      <c r="A583" s="6" t="s">
        <v>2048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R583"/>
      <c r="S583"/>
    </row>
    <row r="584" spans="1:19">
      <c r="A584" s="6" t="s">
        <v>576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R584"/>
      <c r="S584"/>
    </row>
    <row r="585" spans="1:19">
      <c r="A585" s="6" t="s">
        <v>577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R585"/>
      <c r="S585"/>
    </row>
    <row r="586" spans="1:19">
      <c r="A586" s="6" t="s">
        <v>770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R586"/>
      <c r="S586"/>
    </row>
    <row r="587" spans="1:19">
      <c r="A587" s="6" t="s">
        <v>590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R587"/>
      <c r="S587"/>
    </row>
    <row r="588" spans="1:19">
      <c r="A588" s="6" t="s">
        <v>603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R588"/>
      <c r="S588"/>
    </row>
    <row r="589" spans="1:19">
      <c r="A589" s="6" t="s">
        <v>677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R589"/>
      <c r="S589"/>
    </row>
    <row r="590" spans="1:19">
      <c r="A590" s="6" t="s">
        <v>604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R590"/>
    </row>
    <row r="591" spans="1:19">
      <c r="A591" s="6" t="s">
        <v>605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R591"/>
    </row>
    <row r="592" spans="1:19">
      <c r="A592" s="6" t="s">
        <v>606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R592"/>
    </row>
    <row r="593" spans="1:18">
      <c r="A593" s="6" t="s">
        <v>607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R593"/>
    </row>
    <row r="594" spans="1:18">
      <c r="A594" s="6" t="s">
        <v>608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R594"/>
    </row>
    <row r="595" spans="1:18">
      <c r="A595" s="6" t="s">
        <v>609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R595"/>
    </row>
    <row r="596" spans="1:18">
      <c r="A596" s="6" t="s">
        <v>610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R596"/>
    </row>
    <row r="597" spans="1:18">
      <c r="A597" s="6" t="s">
        <v>611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R597"/>
    </row>
    <row r="598" spans="1:18">
      <c r="A598" s="6" t="s">
        <v>612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R598"/>
    </row>
    <row r="599" spans="1:18">
      <c r="A599" s="6" t="s">
        <v>613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R599"/>
    </row>
    <row r="600" spans="1:18">
      <c r="A600" s="6" t="s">
        <v>614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R600"/>
    </row>
    <row r="601" spans="1:18">
      <c r="A601" s="6" t="s">
        <v>615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R601"/>
    </row>
    <row r="602" spans="1:18">
      <c r="A602" s="6" t="s">
        <v>790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R602"/>
    </row>
    <row r="603" spans="1:18">
      <c r="A603" s="6" t="s">
        <v>616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R603"/>
    </row>
    <row r="604" spans="1:18">
      <c r="A604" s="6" t="s">
        <v>617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R604"/>
    </row>
    <row r="605" spans="1:18">
      <c r="A605" s="6" t="s">
        <v>618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R605"/>
    </row>
    <row r="606" spans="1:18">
      <c r="A606" s="6" t="s">
        <v>619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R606"/>
    </row>
    <row r="607" spans="1:18">
      <c r="A607" s="6" t="s">
        <v>594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R607"/>
    </row>
    <row r="608" spans="1:18">
      <c r="A608" s="6" t="s">
        <v>620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R608"/>
    </row>
    <row r="609" spans="1:18">
      <c r="A609" s="6" t="s">
        <v>1362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R609"/>
    </row>
    <row r="610" spans="1:18">
      <c r="A610" s="6" t="s">
        <v>1363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R610"/>
    </row>
    <row r="611" spans="1:18">
      <c r="A611" s="6" t="s">
        <v>621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R611"/>
    </row>
    <row r="612" spans="1:18">
      <c r="A612" s="6" t="s">
        <v>595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R612"/>
    </row>
    <row r="613" spans="1:18">
      <c r="A613" s="6" t="s">
        <v>622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R613"/>
    </row>
    <row r="614" spans="1:18">
      <c r="A614" s="6" t="s">
        <v>623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R614"/>
    </row>
    <row r="615" spans="1:18">
      <c r="A615" s="6" t="s">
        <v>624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R615"/>
    </row>
    <row r="616" spans="1:18">
      <c r="A616" s="6" t="s">
        <v>625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R616"/>
    </row>
    <row r="617" spans="1:18">
      <c r="A617" s="6" t="s">
        <v>626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R617"/>
    </row>
    <row r="618" spans="1:18">
      <c r="A618" s="6" t="s">
        <v>627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R618"/>
    </row>
    <row r="619" spans="1:18">
      <c r="A619" s="6" t="s">
        <v>628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R619"/>
    </row>
    <row r="620" spans="1:18">
      <c r="A620" s="6" t="s">
        <v>629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R620"/>
    </row>
    <row r="621" spans="1:18">
      <c r="A621" s="6" t="s">
        <v>596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R621"/>
    </row>
    <row r="622" spans="1:18">
      <c r="A622" s="6" t="s">
        <v>630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R622"/>
    </row>
    <row r="623" spans="1:18">
      <c r="A623" s="6" t="s">
        <v>631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R623"/>
    </row>
    <row r="624" spans="1:18">
      <c r="A624" s="6" t="s">
        <v>632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R624"/>
    </row>
    <row r="625" spans="1:18">
      <c r="A625" s="6" t="s">
        <v>1364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R625"/>
    </row>
    <row r="626" spans="1:18">
      <c r="A626" s="6" t="s">
        <v>1365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R626"/>
    </row>
    <row r="627" spans="1:18">
      <c r="A627" s="6" t="s">
        <v>597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R627"/>
    </row>
    <row r="628" spans="1:18">
      <c r="A628" s="6" t="s">
        <v>1366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R628"/>
    </row>
    <row r="629" spans="1:18">
      <c r="A629" s="6" t="s">
        <v>633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R629"/>
    </row>
    <row r="630" spans="1:18">
      <c r="A630" s="6" t="s">
        <v>634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R630"/>
    </row>
    <row r="631" spans="1:18">
      <c r="A631" s="6" t="s">
        <v>1367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R631"/>
    </row>
    <row r="632" spans="1:18">
      <c r="A632" s="6" t="s">
        <v>635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R632"/>
    </row>
    <row r="633" spans="1:18">
      <c r="A633" s="6" t="s">
        <v>636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R633"/>
    </row>
    <row r="634" spans="1:18">
      <c r="A634" s="6" t="s">
        <v>637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R634"/>
    </row>
    <row r="635" spans="1:18">
      <c r="A635" s="6" t="s">
        <v>1368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R635"/>
    </row>
    <row r="636" spans="1:18">
      <c r="A636" s="6" t="s">
        <v>638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R636"/>
    </row>
    <row r="637" spans="1:18">
      <c r="A637" s="6" t="s">
        <v>639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R637"/>
    </row>
    <row r="638" spans="1:18">
      <c r="A638" s="6" t="s">
        <v>640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R638"/>
    </row>
    <row r="639" spans="1:18">
      <c r="A639" s="6" t="s">
        <v>641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R639"/>
    </row>
    <row r="640" spans="1:18">
      <c r="A640" s="6" t="s">
        <v>642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R640"/>
    </row>
    <row r="641" spans="1:18">
      <c r="A641" s="6" t="s">
        <v>643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R641"/>
    </row>
    <row r="642" spans="1:18">
      <c r="A642" s="6" t="s">
        <v>644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R642"/>
    </row>
    <row r="643" spans="1:18">
      <c r="A643" s="6" t="s">
        <v>645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R643"/>
    </row>
    <row r="644" spans="1:18">
      <c r="A644" s="6" t="s">
        <v>646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R644"/>
    </row>
    <row r="645" spans="1:18">
      <c r="A645" s="6" t="s">
        <v>647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R645"/>
    </row>
    <row r="646" spans="1:18">
      <c r="A646" s="6" t="s">
        <v>648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R646"/>
    </row>
    <row r="647" spans="1:18">
      <c r="A647" s="6" t="s">
        <v>649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R647"/>
    </row>
    <row r="648" spans="1:18">
      <c r="A648" s="6" t="s">
        <v>650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R648"/>
    </row>
    <row r="649" spans="1:18">
      <c r="A649" s="6" t="s">
        <v>1369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R649"/>
    </row>
    <row r="650" spans="1:18">
      <c r="A650" s="6" t="s">
        <v>1370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R650"/>
    </row>
    <row r="651" spans="1:18">
      <c r="A651" s="6" t="s">
        <v>651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R651"/>
    </row>
    <row r="652" spans="1:18">
      <c r="A652" s="6" t="s">
        <v>652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R652"/>
    </row>
    <row r="653" spans="1:18">
      <c r="A653" s="6" t="s">
        <v>653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R653"/>
    </row>
    <row r="654" spans="1:18">
      <c r="A654" s="6" t="s">
        <v>654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R654"/>
    </row>
    <row r="655" spans="1:18">
      <c r="A655" s="6" t="s">
        <v>678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R655"/>
    </row>
    <row r="656" spans="1:18">
      <c r="A656" s="6" t="s">
        <v>655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R656"/>
    </row>
    <row r="657" spans="1:18">
      <c r="A657" s="6" t="s">
        <v>656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R657"/>
    </row>
    <row r="658" spans="1:18">
      <c r="A658" s="6" t="s">
        <v>598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R658"/>
    </row>
    <row r="659" spans="1:18">
      <c r="A659" s="6" t="s">
        <v>657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R659"/>
    </row>
    <row r="660" spans="1:18">
      <c r="A660" s="6" t="s">
        <v>658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R660"/>
    </row>
    <row r="661" spans="1:18">
      <c r="A661" s="6" t="s">
        <v>659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R661"/>
    </row>
    <row r="662" spans="1:18">
      <c r="A662" s="6" t="s">
        <v>660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R662"/>
    </row>
    <row r="663" spans="1:18">
      <c r="A663" s="6" t="s">
        <v>661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R663"/>
    </row>
    <row r="664" spans="1:18">
      <c r="A664" s="6" t="s">
        <v>662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R664"/>
    </row>
    <row r="665" spans="1:18">
      <c r="A665" s="6" t="s">
        <v>1371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R665"/>
    </row>
    <row r="666" spans="1:18">
      <c r="A666" s="6" t="s">
        <v>663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R666"/>
    </row>
    <row r="667" spans="1:18">
      <c r="A667" s="6" t="s">
        <v>664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R667"/>
    </row>
    <row r="668" spans="1:18">
      <c r="A668" s="6" t="s">
        <v>665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R668"/>
    </row>
    <row r="669" spans="1:18">
      <c r="A669" s="6" t="s">
        <v>666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R669"/>
    </row>
    <row r="670" spans="1:18">
      <c r="A670" s="6" t="s">
        <v>667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R670"/>
    </row>
    <row r="671" spans="1:18">
      <c r="A671" s="6" t="s">
        <v>668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R671"/>
    </row>
    <row r="672" spans="1:18">
      <c r="A672" s="6" t="s">
        <v>599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R672"/>
    </row>
    <row r="673" spans="1:18">
      <c r="A673" s="6" t="s">
        <v>669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R673"/>
    </row>
    <row r="674" spans="1:18">
      <c r="A674" s="6" t="s">
        <v>600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R674"/>
    </row>
    <row r="675" spans="1:18">
      <c r="A675" s="6" t="s">
        <v>601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R675"/>
    </row>
    <row r="676" spans="1:18">
      <c r="A676" s="6" t="s">
        <v>670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R676"/>
    </row>
    <row r="677" spans="1:18">
      <c r="A677" s="6" t="s">
        <v>671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R677"/>
    </row>
    <row r="678" spans="1:18">
      <c r="A678" s="6" t="s">
        <v>679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R678"/>
    </row>
    <row r="679" spans="1:18">
      <c r="A679" s="6" t="s">
        <v>672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R679"/>
    </row>
    <row r="680" spans="1:18">
      <c r="A680" s="6" t="s">
        <v>2051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R680"/>
    </row>
    <row r="681" spans="1:18">
      <c r="A681" s="6" t="s">
        <v>602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R681"/>
    </row>
    <row r="682" spans="1:18">
      <c r="A682" s="6" t="s">
        <v>673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R682"/>
    </row>
    <row r="683" spans="1:18">
      <c r="A683" s="6" t="s">
        <v>2050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R683"/>
    </row>
    <row r="684" spans="1:18">
      <c r="A684" s="6" t="s">
        <v>674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R684"/>
    </row>
    <row r="685" spans="1:18">
      <c r="A685" s="6" t="s">
        <v>675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R685"/>
    </row>
    <row r="686" spans="1:18">
      <c r="A686" s="6" t="s">
        <v>771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R686"/>
    </row>
    <row r="687" spans="1:18">
      <c r="A687" s="6" t="s">
        <v>676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R687"/>
    </row>
    <row r="688" spans="1:18">
      <c r="A688" s="6" t="s">
        <v>680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R688"/>
    </row>
    <row r="689" spans="1:18">
      <c r="A689" s="6" t="s">
        <v>681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R689"/>
    </row>
    <row r="690" spans="1:18">
      <c r="A690" s="6" t="s">
        <v>682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R690"/>
    </row>
    <row r="691" spans="1:18">
      <c r="A691" s="6" t="s">
        <v>683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R691"/>
    </row>
    <row r="692" spans="1:18">
      <c r="A692" s="6" t="s">
        <v>684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R692"/>
    </row>
    <row r="693" spans="1:18">
      <c r="A693" s="6" t="s">
        <v>685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R693"/>
    </row>
    <row r="694" spans="1:18">
      <c r="A694" s="6" t="s">
        <v>686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R694"/>
    </row>
    <row r="695" spans="1:18">
      <c r="A695" s="6" t="s">
        <v>687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R695"/>
    </row>
    <row r="696" spans="1:18">
      <c r="A696" s="6" t="s">
        <v>688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R696"/>
    </row>
    <row r="697" spans="1:18">
      <c r="A697" s="6" t="s">
        <v>689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R697"/>
    </row>
    <row r="698" spans="1:18">
      <c r="A698" s="6" t="s">
        <v>690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R698"/>
    </row>
    <row r="699" spans="1:18">
      <c r="A699" s="6" t="s">
        <v>691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R699"/>
    </row>
    <row r="700" spans="1:18">
      <c r="A700" s="6" t="s">
        <v>692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R700"/>
    </row>
    <row r="701" spans="1:18">
      <c r="A701" s="6" t="s">
        <v>693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R701"/>
    </row>
    <row r="702" spans="1:18">
      <c r="A702" s="6" t="s">
        <v>791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R702"/>
    </row>
    <row r="703" spans="1:18">
      <c r="A703" s="6" t="s">
        <v>694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R703"/>
    </row>
    <row r="704" spans="1:18">
      <c r="A704" s="6" t="s">
        <v>695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R704"/>
    </row>
    <row r="705" spans="1:18">
      <c r="A705" s="6" t="s">
        <v>696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R705"/>
    </row>
    <row r="706" spans="1:18">
      <c r="A706" s="6" t="s">
        <v>697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R706"/>
    </row>
    <row r="707" spans="1:18">
      <c r="A707" s="6" t="s">
        <v>698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R707"/>
    </row>
    <row r="708" spans="1:18">
      <c r="A708" s="6" t="s">
        <v>699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R708"/>
    </row>
    <row r="709" spans="1:18">
      <c r="A709" s="6" t="s">
        <v>1372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R709"/>
    </row>
    <row r="710" spans="1:18">
      <c r="A710" s="6" t="s">
        <v>1373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R710"/>
    </row>
    <row r="711" spans="1:18">
      <c r="A711" s="6" t="s">
        <v>700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R711"/>
    </row>
    <row r="712" spans="1:18">
      <c r="A712" s="6" t="s">
        <v>701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R712"/>
    </row>
    <row r="713" spans="1:18">
      <c r="A713" s="6" t="s">
        <v>702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R713"/>
    </row>
    <row r="714" spans="1:18">
      <c r="A714" s="6" t="s">
        <v>703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R714"/>
    </row>
    <row r="715" spans="1:18">
      <c r="A715" s="6" t="s">
        <v>704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R715"/>
    </row>
    <row r="716" spans="1:18">
      <c r="A716" s="6" t="s">
        <v>705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R716"/>
    </row>
    <row r="717" spans="1:18">
      <c r="A717" s="6" t="s">
        <v>706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R717"/>
    </row>
    <row r="718" spans="1:18">
      <c r="A718" s="6" t="s">
        <v>707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R718"/>
    </row>
    <row r="719" spans="1:18">
      <c r="A719" s="6" t="s">
        <v>708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R719"/>
    </row>
    <row r="720" spans="1:18">
      <c r="A720" s="6" t="s">
        <v>709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R720"/>
    </row>
    <row r="721" spans="1:18">
      <c r="A721" s="6" t="s">
        <v>710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R721"/>
    </row>
    <row r="722" spans="1:18">
      <c r="A722" s="6" t="s">
        <v>711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R722"/>
    </row>
    <row r="723" spans="1:18">
      <c r="A723" s="6" t="s">
        <v>712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R723"/>
    </row>
    <row r="724" spans="1:18">
      <c r="A724" s="6" t="s">
        <v>1374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R724"/>
    </row>
    <row r="725" spans="1:18">
      <c r="A725" s="6" t="s">
        <v>1375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R725"/>
    </row>
    <row r="726" spans="1:18">
      <c r="A726" s="6" t="s">
        <v>713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R726"/>
    </row>
    <row r="727" spans="1:18">
      <c r="A727" s="6" t="s">
        <v>1376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R727"/>
    </row>
    <row r="728" spans="1:18">
      <c r="A728" s="6" t="s">
        <v>714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R728"/>
    </row>
    <row r="729" spans="1:18">
      <c r="A729" s="6" t="s">
        <v>715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R729"/>
    </row>
    <row r="730" spans="1:18">
      <c r="A730" s="6" t="s">
        <v>1377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R730"/>
    </row>
    <row r="731" spans="1:18">
      <c r="A731" s="6" t="s">
        <v>716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R731"/>
    </row>
    <row r="732" spans="1:18">
      <c r="A732" s="6" t="s">
        <v>717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R732"/>
    </row>
    <row r="733" spans="1:18">
      <c r="A733" s="6" t="s">
        <v>718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R733"/>
    </row>
    <row r="734" spans="1:18">
      <c r="A734" s="6" t="s">
        <v>1378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R734"/>
    </row>
    <row r="735" spans="1:18">
      <c r="A735" s="6" t="s">
        <v>719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R735"/>
    </row>
    <row r="736" spans="1:18">
      <c r="A736" s="6" t="s">
        <v>720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R736"/>
    </row>
    <row r="737" spans="1:18">
      <c r="A737" s="6" t="s">
        <v>721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R737"/>
    </row>
    <row r="738" spans="1:18">
      <c r="A738" s="6" t="s">
        <v>722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R738"/>
    </row>
    <row r="739" spans="1:18">
      <c r="A739" s="6" t="s">
        <v>723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R739"/>
    </row>
    <row r="740" spans="1:18">
      <c r="A740" s="6" t="s">
        <v>724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R740"/>
    </row>
    <row r="741" spans="1:18">
      <c r="A741" s="6" t="s">
        <v>725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R741"/>
    </row>
    <row r="742" spans="1:18">
      <c r="A742" s="6" t="s">
        <v>726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R742"/>
    </row>
    <row r="743" spans="1:18">
      <c r="A743" s="6" t="s">
        <v>727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R743"/>
    </row>
    <row r="744" spans="1:18">
      <c r="A744" s="6" t="s">
        <v>728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R744"/>
    </row>
    <row r="745" spans="1:18">
      <c r="A745" s="6" t="s">
        <v>729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R745"/>
    </row>
    <row r="746" spans="1:18">
      <c r="A746" s="6" t="s">
        <v>730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R746"/>
    </row>
    <row r="747" spans="1:18">
      <c r="A747" s="6" t="s">
        <v>731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R747"/>
    </row>
    <row r="748" spans="1:18">
      <c r="A748" s="6" t="s">
        <v>1379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R748"/>
    </row>
    <row r="749" spans="1:18">
      <c r="A749" s="6" t="s">
        <v>1380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R749"/>
    </row>
    <row r="750" spans="1:18">
      <c r="A750" s="6" t="s">
        <v>732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R750"/>
    </row>
    <row r="751" spans="1:18">
      <c r="A751" s="6" t="s">
        <v>733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R751"/>
    </row>
    <row r="752" spans="1:18">
      <c r="A752" s="6" t="s">
        <v>734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R752"/>
    </row>
    <row r="753" spans="1:18">
      <c r="A753" s="6" t="s">
        <v>735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R753"/>
    </row>
    <row r="754" spans="1:18">
      <c r="A754" s="6" t="s">
        <v>736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R754"/>
    </row>
    <row r="755" spans="1:18">
      <c r="A755" s="6" t="s">
        <v>737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R755"/>
    </row>
    <row r="756" spans="1:18">
      <c r="A756" s="6" t="s">
        <v>738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R756"/>
    </row>
    <row r="757" spans="1:18">
      <c r="A757" s="6" t="s">
        <v>739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R757"/>
    </row>
    <row r="758" spans="1:18">
      <c r="A758" s="6" t="s">
        <v>740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R758"/>
    </row>
    <row r="759" spans="1:18">
      <c r="A759" s="6" t="s">
        <v>741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R759"/>
    </row>
    <row r="760" spans="1:18">
      <c r="A760" s="6" t="s">
        <v>742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R760"/>
    </row>
    <row r="761" spans="1:18">
      <c r="A761" s="6" t="s">
        <v>743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R761"/>
    </row>
    <row r="762" spans="1:18">
      <c r="A762" s="6" t="s">
        <v>744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R762"/>
    </row>
    <row r="763" spans="1:18">
      <c r="A763" s="6" t="s">
        <v>745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R763"/>
    </row>
    <row r="764" spans="1:18">
      <c r="A764" s="6" t="s">
        <v>1381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R764"/>
    </row>
    <row r="765" spans="1:18">
      <c r="A765" s="6" t="s">
        <v>746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R765"/>
    </row>
    <row r="766" spans="1:18">
      <c r="A766" s="6" t="s">
        <v>747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R766"/>
    </row>
    <row r="767" spans="1:18">
      <c r="A767" s="6" t="s">
        <v>748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R767"/>
    </row>
    <row r="768" spans="1:18">
      <c r="A768" s="6" t="s">
        <v>749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R768"/>
    </row>
    <row r="769" spans="1:18">
      <c r="A769" s="6" t="s">
        <v>750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R769"/>
    </row>
    <row r="770" spans="1:18">
      <c r="A770" s="6" t="s">
        <v>751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R770"/>
    </row>
    <row r="771" spans="1:18">
      <c r="A771" s="6" t="s">
        <v>752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R771"/>
    </row>
    <row r="772" spans="1:18">
      <c r="A772" s="6" t="s">
        <v>753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R772"/>
    </row>
    <row r="773" spans="1:18">
      <c r="A773" s="6" t="s">
        <v>754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R773"/>
    </row>
    <row r="774" spans="1:18">
      <c r="A774" s="6" t="s">
        <v>755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R774"/>
    </row>
    <row r="775" spans="1:18">
      <c r="A775" s="6" t="s">
        <v>756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R775"/>
    </row>
    <row r="776" spans="1:18">
      <c r="A776" s="6" t="s">
        <v>757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R776"/>
    </row>
    <row r="777" spans="1:18">
      <c r="A777" s="6" t="s">
        <v>758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R777"/>
    </row>
    <row r="778" spans="1:18">
      <c r="A778" s="6" t="s">
        <v>759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R778"/>
    </row>
    <row r="779" spans="1:18">
      <c r="A779" s="6" t="s">
        <v>2053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R779"/>
    </row>
    <row r="780" spans="1:18">
      <c r="A780" s="6" t="s">
        <v>760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R780"/>
    </row>
    <row r="781" spans="1:18">
      <c r="A781" s="6" t="s">
        <v>761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R781"/>
    </row>
    <row r="782" spans="1:18">
      <c r="A782" s="6" t="s">
        <v>2052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R782"/>
    </row>
    <row r="783" spans="1:18">
      <c r="A783" s="6" t="s">
        <v>762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R783"/>
    </row>
    <row r="784" spans="1:18">
      <c r="A784" s="6" t="s">
        <v>763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R784"/>
    </row>
    <row r="785" spans="1:18">
      <c r="A785" s="6" t="s">
        <v>772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R785"/>
    </row>
    <row r="786" spans="1:18">
      <c r="A786" s="6" t="s">
        <v>764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R786"/>
    </row>
    <row r="787" spans="1:18">
      <c r="A787" s="6" t="s">
        <v>792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R787"/>
    </row>
    <row r="788" spans="1:18">
      <c r="A788" s="6" t="s">
        <v>793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R788"/>
    </row>
    <row r="789" spans="1:18">
      <c r="A789" s="6" t="s">
        <v>794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R789"/>
    </row>
    <row r="790" spans="1:18">
      <c r="A790" s="6" t="s">
        <v>795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R790"/>
    </row>
    <row r="791" spans="1:18">
      <c r="A791" s="6" t="s">
        <v>796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R791"/>
    </row>
    <row r="792" spans="1:18">
      <c r="A792" s="6" t="s">
        <v>797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R792"/>
    </row>
    <row r="793" spans="1:18">
      <c r="A793" s="6" t="s">
        <v>798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R793"/>
    </row>
    <row r="794" spans="1:18">
      <c r="A794" s="6" t="s">
        <v>799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R794"/>
    </row>
    <row r="795" spans="1:18">
      <c r="A795" s="6" t="s">
        <v>800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R795"/>
    </row>
    <row r="796" spans="1:18">
      <c r="A796" s="6" t="s">
        <v>801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R796"/>
    </row>
    <row r="797" spans="1:18">
      <c r="A797" s="6" t="s">
        <v>802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R797"/>
    </row>
    <row r="798" spans="1:18">
      <c r="A798" s="6" t="s">
        <v>803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R798"/>
    </row>
    <row r="799" spans="1:18">
      <c r="A799" s="6" t="s">
        <v>804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R799"/>
    </row>
    <row r="800" spans="1:18">
      <c r="A800" s="6" t="s">
        <v>805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R800"/>
    </row>
    <row r="801" spans="1:18">
      <c r="A801" s="6" t="s">
        <v>806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R801"/>
    </row>
    <row r="802" spans="1:18">
      <c r="A802" s="6" t="s">
        <v>807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R802"/>
    </row>
    <row r="803" spans="1:18">
      <c r="A803" s="6" t="s">
        <v>808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R803"/>
    </row>
    <row r="804" spans="1:18">
      <c r="A804" s="6" t="s">
        <v>809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R804"/>
    </row>
    <row r="805" spans="1:18">
      <c r="A805" s="6" t="s">
        <v>810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R805"/>
    </row>
    <row r="806" spans="1:18">
      <c r="A806" s="6" t="s">
        <v>811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R806"/>
    </row>
    <row r="807" spans="1:18">
      <c r="A807" s="6" t="s">
        <v>812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R807"/>
    </row>
    <row r="808" spans="1:18">
      <c r="A808" s="6" t="s">
        <v>1382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R808"/>
    </row>
    <row r="809" spans="1:18">
      <c r="A809" s="6" t="s">
        <v>813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R809"/>
    </row>
    <row r="810" spans="1:18">
      <c r="A810" s="6" t="s">
        <v>1383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R810"/>
    </row>
    <row r="811" spans="1:18">
      <c r="A811" s="6" t="s">
        <v>814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R811"/>
    </row>
    <row r="812" spans="1:18">
      <c r="A812" s="6" t="s">
        <v>815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R812"/>
    </row>
    <row r="813" spans="1:18">
      <c r="A813" s="6" t="s">
        <v>816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R813"/>
    </row>
    <row r="814" spans="1:18">
      <c r="A814" s="6" t="s">
        <v>817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R814"/>
    </row>
    <row r="815" spans="1:18">
      <c r="A815" s="6" t="s">
        <v>818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R815"/>
    </row>
    <row r="816" spans="1:18">
      <c r="A816" s="6" t="s">
        <v>819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R816"/>
    </row>
    <row r="817" spans="1:18">
      <c r="A817" s="6" t="s">
        <v>820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R817"/>
    </row>
    <row r="818" spans="1:18">
      <c r="A818" s="6" t="s">
        <v>821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R818"/>
    </row>
    <row r="819" spans="1:18">
      <c r="A819" s="6" t="s">
        <v>822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R819"/>
    </row>
    <row r="820" spans="1:18">
      <c r="A820" s="6" t="s">
        <v>823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R820"/>
    </row>
    <row r="821" spans="1:18">
      <c r="A821" s="6" t="s">
        <v>824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R821"/>
    </row>
    <row r="822" spans="1:18">
      <c r="A822" s="6" t="s">
        <v>825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R822"/>
    </row>
    <row r="823" spans="1:18">
      <c r="A823" s="6" t="s">
        <v>826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R823"/>
    </row>
    <row r="824" spans="1:18">
      <c r="A824" s="6" t="s">
        <v>1384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R824"/>
    </row>
    <row r="825" spans="1:18">
      <c r="A825" s="6" t="s">
        <v>1385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R825"/>
    </row>
    <row r="826" spans="1:18">
      <c r="A826" s="6" t="s">
        <v>827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R826"/>
    </row>
    <row r="827" spans="1:18">
      <c r="A827" s="6" t="s">
        <v>1386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R827"/>
    </row>
    <row r="828" spans="1:18">
      <c r="A828" s="6" t="s">
        <v>828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R828"/>
    </row>
    <row r="829" spans="1:18">
      <c r="A829" s="6" t="s">
        <v>829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R829"/>
    </row>
    <row r="830" spans="1:18">
      <c r="A830" s="6" t="s">
        <v>1387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R830"/>
    </row>
    <row r="831" spans="1:18">
      <c r="A831" s="6" t="s">
        <v>830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R831"/>
    </row>
    <row r="832" spans="1:18">
      <c r="A832" s="6" t="s">
        <v>831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R832"/>
    </row>
    <row r="833" spans="1:18">
      <c r="A833" s="6" t="s">
        <v>832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R833"/>
    </row>
    <row r="834" spans="1:18">
      <c r="A834" s="6" t="s">
        <v>1388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R834"/>
    </row>
    <row r="835" spans="1:18">
      <c r="A835" s="6" t="s">
        <v>833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R835"/>
    </row>
    <row r="836" spans="1:18">
      <c r="A836" s="6" t="s">
        <v>834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R836"/>
    </row>
    <row r="837" spans="1:18">
      <c r="A837" s="6" t="s">
        <v>835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R837"/>
    </row>
    <row r="838" spans="1:18">
      <c r="A838" s="6" t="s">
        <v>836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R838"/>
    </row>
    <row r="839" spans="1:18">
      <c r="A839" s="6" t="s">
        <v>837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R839"/>
    </row>
    <row r="840" spans="1:18">
      <c r="A840" s="6" t="s">
        <v>838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R840"/>
    </row>
    <row r="841" spans="1:18">
      <c r="A841" s="6" t="s">
        <v>839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R841"/>
    </row>
    <row r="842" spans="1:18">
      <c r="A842" s="6" t="s">
        <v>840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R842"/>
    </row>
    <row r="843" spans="1:18">
      <c r="A843" s="6" t="s">
        <v>841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R843"/>
    </row>
    <row r="844" spans="1:18">
      <c r="A844" s="6" t="s">
        <v>842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R844"/>
    </row>
    <row r="845" spans="1:18">
      <c r="A845" s="6" t="s">
        <v>843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R845"/>
    </row>
    <row r="846" spans="1:18">
      <c r="A846" s="6" t="s">
        <v>844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R846"/>
    </row>
    <row r="847" spans="1:18">
      <c r="A847" s="6" t="s">
        <v>845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R847"/>
    </row>
    <row r="848" spans="1:18">
      <c r="A848" s="6" t="s">
        <v>846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R848"/>
    </row>
    <row r="849" spans="1:18">
      <c r="A849" s="6" t="s">
        <v>1389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R849"/>
    </row>
    <row r="850" spans="1:18">
      <c r="A850" s="6" t="s">
        <v>847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R850"/>
    </row>
    <row r="851" spans="1:18">
      <c r="A851" s="6" t="s">
        <v>848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R851"/>
    </row>
    <row r="852" spans="1:18">
      <c r="A852" s="6" t="s">
        <v>849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R852"/>
    </row>
    <row r="853" spans="1:18">
      <c r="A853" s="6" t="s">
        <v>850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R853"/>
    </row>
    <row r="854" spans="1:18">
      <c r="A854" s="6" t="s">
        <v>851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R854"/>
    </row>
    <row r="855" spans="1:18">
      <c r="A855" s="6" t="s">
        <v>852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R855"/>
    </row>
    <row r="856" spans="1:18">
      <c r="A856" s="6" t="s">
        <v>853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R856"/>
    </row>
    <row r="857" spans="1:18">
      <c r="A857" s="6" t="s">
        <v>854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R857"/>
    </row>
    <row r="858" spans="1:18">
      <c r="A858" s="6" t="s">
        <v>855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R858"/>
    </row>
    <row r="859" spans="1:18">
      <c r="A859" s="6" t="s">
        <v>856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R859"/>
    </row>
    <row r="860" spans="1:18">
      <c r="A860" s="6" t="s">
        <v>857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R860"/>
    </row>
    <row r="861" spans="1:18">
      <c r="A861" s="6" t="s">
        <v>1390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R861"/>
    </row>
    <row r="862" spans="1:18">
      <c r="A862" s="6" t="s">
        <v>858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R862"/>
    </row>
    <row r="863" spans="1:18">
      <c r="A863" s="6" t="s">
        <v>859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R863"/>
    </row>
    <row r="864" spans="1:18">
      <c r="A864" s="6" t="s">
        <v>860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R864"/>
    </row>
    <row r="865" spans="1:18">
      <c r="A865" s="6" t="s">
        <v>861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R865"/>
    </row>
    <row r="866" spans="1:18">
      <c r="A866" s="6" t="s">
        <v>862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R866"/>
    </row>
    <row r="867" spans="1:18">
      <c r="A867" s="6" t="s">
        <v>863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R867"/>
    </row>
    <row r="868" spans="1:18">
      <c r="A868" s="6" t="s">
        <v>864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R868"/>
    </row>
    <row r="869" spans="1:18">
      <c r="A869" s="6" t="s">
        <v>865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R869"/>
    </row>
    <row r="870" spans="1:18">
      <c r="A870" s="6" t="s">
        <v>866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R870"/>
    </row>
    <row r="871" spans="1:18">
      <c r="A871" s="6" t="s">
        <v>867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R871"/>
    </row>
    <row r="872" spans="1:18">
      <c r="A872" s="6" t="s">
        <v>868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R872"/>
    </row>
    <row r="873" spans="1:18">
      <c r="A873" s="6" t="s">
        <v>869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R873"/>
    </row>
    <row r="874" spans="1:18">
      <c r="A874" s="6" t="s">
        <v>870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R874"/>
    </row>
    <row r="875" spans="1:18">
      <c r="A875" s="6" t="s">
        <v>871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R875"/>
    </row>
    <row r="876" spans="1:18">
      <c r="A876" s="6" t="s">
        <v>2055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R876"/>
    </row>
    <row r="877" spans="1:18">
      <c r="A877" s="6" t="s">
        <v>872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R877"/>
    </row>
    <row r="878" spans="1:18">
      <c r="A878" s="6" t="s">
        <v>873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R878"/>
    </row>
    <row r="879" spans="1:18">
      <c r="A879" s="6" t="s">
        <v>2054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R879"/>
    </row>
    <row r="880" spans="1:18">
      <c r="A880" s="6" t="s">
        <v>874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R880"/>
    </row>
    <row r="881" spans="1:18">
      <c r="A881" s="6" t="s">
        <v>875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R881"/>
    </row>
    <row r="882" spans="1:18">
      <c r="A882" s="6" t="s">
        <v>876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R882"/>
    </row>
    <row r="883" spans="1:18">
      <c r="A883" s="6" t="s">
        <v>877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R883"/>
    </row>
    <row r="884" spans="1:18">
      <c r="A884" s="6" t="s">
        <v>878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R884"/>
    </row>
    <row r="885" spans="1:18">
      <c r="A885" s="6" t="s">
        <v>879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R885"/>
    </row>
    <row r="886" spans="1:18">
      <c r="A886" s="6" t="s">
        <v>880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R886"/>
    </row>
    <row r="887" spans="1:18">
      <c r="A887" s="6" t="s">
        <v>881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R887"/>
    </row>
    <row r="888" spans="1:18">
      <c r="A888" s="6" t="s">
        <v>882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R888"/>
    </row>
    <row r="889" spans="1:18">
      <c r="A889" s="6" t="s">
        <v>883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R889"/>
    </row>
    <row r="890" spans="1:18">
      <c r="A890" s="6" t="s">
        <v>884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R890"/>
    </row>
    <row r="891" spans="1:18">
      <c r="A891" s="6" t="s">
        <v>885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R891"/>
    </row>
    <row r="892" spans="1:18">
      <c r="A892" s="6" t="s">
        <v>886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R892"/>
    </row>
    <row r="893" spans="1:18">
      <c r="A893" s="6" t="s">
        <v>887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R893"/>
    </row>
    <row r="894" spans="1:18">
      <c r="A894" s="6" t="s">
        <v>888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R894"/>
    </row>
    <row r="895" spans="1:18">
      <c r="A895" s="6" t="s">
        <v>889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R895"/>
    </row>
    <row r="896" spans="1:18">
      <c r="A896" s="6" t="s">
        <v>890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R896"/>
    </row>
    <row r="897" spans="1:18">
      <c r="A897" s="6" t="s">
        <v>891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R897"/>
    </row>
    <row r="898" spans="1:18">
      <c r="A898" s="6" t="s">
        <v>892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R898"/>
    </row>
    <row r="899" spans="1:18">
      <c r="A899" s="6" t="s">
        <v>893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R899"/>
    </row>
    <row r="900" spans="1:18">
      <c r="A900" s="6" t="s">
        <v>894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R900"/>
    </row>
    <row r="901" spans="1:18">
      <c r="A901" s="6" t="s">
        <v>895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R901"/>
    </row>
    <row r="902" spans="1:18">
      <c r="A902" s="6" t="s">
        <v>896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R902"/>
    </row>
    <row r="903" spans="1:18">
      <c r="A903" s="6" t="s">
        <v>897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R903"/>
    </row>
    <row r="904" spans="1:18">
      <c r="A904" s="6" t="s">
        <v>898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R904"/>
    </row>
    <row r="905" spans="1:18">
      <c r="A905" s="6" t="s">
        <v>1391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R905"/>
    </row>
    <row r="906" spans="1:18">
      <c r="A906" s="6" t="s">
        <v>899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R906"/>
    </row>
    <row r="907" spans="1:18">
      <c r="A907" s="6" t="s">
        <v>1392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R907"/>
    </row>
    <row r="908" spans="1:18">
      <c r="A908" s="6" t="s">
        <v>900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R908"/>
    </row>
    <row r="909" spans="1:18">
      <c r="A909" s="6" t="s">
        <v>901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R909"/>
    </row>
    <row r="910" spans="1:18">
      <c r="A910" s="6" t="s">
        <v>902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R910"/>
    </row>
    <row r="911" spans="1:18">
      <c r="A911" s="6" t="s">
        <v>903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R911"/>
    </row>
    <row r="912" spans="1:18">
      <c r="A912" s="6" t="s">
        <v>904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R912"/>
    </row>
    <row r="913" spans="1:18">
      <c r="A913" s="6" t="s">
        <v>905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R913"/>
    </row>
    <row r="914" spans="1:18">
      <c r="A914" s="6" t="s">
        <v>906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R914"/>
    </row>
    <row r="915" spans="1:18">
      <c r="A915" s="6" t="s">
        <v>907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R915"/>
    </row>
    <row r="916" spans="1:18">
      <c r="A916" s="6" t="s">
        <v>908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R916"/>
    </row>
    <row r="917" spans="1:18">
      <c r="A917" s="6" t="s">
        <v>909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R917"/>
    </row>
    <row r="918" spans="1:18">
      <c r="A918" s="6" t="s">
        <v>910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R918"/>
    </row>
    <row r="919" spans="1:18">
      <c r="A919" s="6" t="s">
        <v>911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R919"/>
    </row>
    <row r="920" spans="1:18">
      <c r="A920" s="6" t="s">
        <v>912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R920"/>
    </row>
    <row r="921" spans="1:18">
      <c r="A921" s="6" t="s">
        <v>1393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R921"/>
    </row>
    <row r="922" spans="1:18">
      <c r="A922" s="6" t="s">
        <v>1394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R922"/>
    </row>
    <row r="923" spans="1:18">
      <c r="A923" s="6" t="s">
        <v>913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R923"/>
    </row>
    <row r="924" spans="1:18">
      <c r="A924" s="6" t="s">
        <v>1395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R924"/>
    </row>
    <row r="925" spans="1:18">
      <c r="A925" s="6" t="s">
        <v>914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R925"/>
    </row>
    <row r="926" spans="1:18">
      <c r="A926" s="6" t="s">
        <v>915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R926"/>
    </row>
    <row r="927" spans="1:18">
      <c r="A927" s="6" t="s">
        <v>1396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R927"/>
    </row>
    <row r="928" spans="1:18">
      <c r="A928" s="6" t="s">
        <v>916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R928"/>
    </row>
    <row r="929" spans="1:18">
      <c r="A929" s="6" t="s">
        <v>917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R929"/>
    </row>
    <row r="930" spans="1:18">
      <c r="A930" s="6" t="s">
        <v>918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R930"/>
    </row>
    <row r="931" spans="1:18">
      <c r="A931" s="6" t="s">
        <v>1397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R931"/>
    </row>
    <row r="932" spans="1:18">
      <c r="A932" s="6" t="s">
        <v>919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R932"/>
    </row>
    <row r="933" spans="1:18">
      <c r="A933" s="6" t="s">
        <v>920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R933"/>
    </row>
    <row r="934" spans="1:18">
      <c r="A934" s="6" t="s">
        <v>921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R934"/>
    </row>
    <row r="935" spans="1:18">
      <c r="A935" s="6" t="s">
        <v>922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R935"/>
    </row>
    <row r="936" spans="1:18">
      <c r="A936" s="6" t="s">
        <v>923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R936"/>
    </row>
    <row r="937" spans="1:18">
      <c r="A937" s="6" t="s">
        <v>924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R937"/>
    </row>
    <row r="938" spans="1:18">
      <c r="A938" s="6" t="s">
        <v>925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R938"/>
    </row>
    <row r="939" spans="1:18">
      <c r="A939" s="6" t="s">
        <v>926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R939"/>
    </row>
    <row r="940" spans="1:18">
      <c r="A940" s="6" t="s">
        <v>927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R940"/>
    </row>
    <row r="941" spans="1:18">
      <c r="A941" s="6" t="s">
        <v>928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R941"/>
    </row>
    <row r="942" spans="1:18">
      <c r="A942" s="6" t="s">
        <v>929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R942"/>
    </row>
    <row r="943" spans="1:18">
      <c r="A943" s="6" t="s">
        <v>930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R943"/>
    </row>
    <row r="944" spans="1:18">
      <c r="A944" s="6" t="s">
        <v>931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R944"/>
    </row>
    <row r="945" spans="1:18">
      <c r="A945" s="6" t="s">
        <v>932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R945"/>
    </row>
    <row r="946" spans="1:18">
      <c r="A946" s="6" t="s">
        <v>1398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R946"/>
    </row>
    <row r="947" spans="1:18">
      <c r="A947" s="6" t="s">
        <v>933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R947"/>
    </row>
    <row r="948" spans="1:18">
      <c r="A948" s="6" t="s">
        <v>963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R948"/>
    </row>
    <row r="949" spans="1:18">
      <c r="A949" s="6" t="s">
        <v>934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R949"/>
    </row>
    <row r="950" spans="1:18">
      <c r="A950" s="6" t="s">
        <v>935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R950"/>
    </row>
    <row r="951" spans="1:18">
      <c r="A951" s="6" t="s">
        <v>936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R951"/>
    </row>
    <row r="952" spans="1:18">
      <c r="A952" s="6" t="s">
        <v>937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R952"/>
    </row>
    <row r="953" spans="1:18">
      <c r="A953" s="6" t="s">
        <v>938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R953"/>
    </row>
    <row r="954" spans="1:18">
      <c r="A954" s="6" t="s">
        <v>939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R954"/>
    </row>
    <row r="955" spans="1:18">
      <c r="A955" s="6" t="s">
        <v>940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R955"/>
    </row>
    <row r="956" spans="1:18">
      <c r="A956" s="6" t="s">
        <v>941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R956"/>
    </row>
    <row r="957" spans="1:18">
      <c r="A957" s="6" t="s">
        <v>942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R957"/>
    </row>
    <row r="958" spans="1:18">
      <c r="A958" s="6" t="s">
        <v>1399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R958"/>
    </row>
    <row r="959" spans="1:18">
      <c r="A959" s="6" t="s">
        <v>943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R959"/>
    </row>
    <row r="960" spans="1:18">
      <c r="A960" s="6" t="s">
        <v>944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R960"/>
    </row>
    <row r="961" spans="1:18">
      <c r="A961" s="6" t="s">
        <v>945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R961"/>
    </row>
    <row r="962" spans="1:18">
      <c r="A962" s="6" t="s">
        <v>946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R962"/>
    </row>
    <row r="963" spans="1:18">
      <c r="A963" s="6" t="s">
        <v>947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R963"/>
    </row>
    <row r="964" spans="1:18">
      <c r="A964" s="6" t="s">
        <v>948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R964"/>
    </row>
    <row r="965" spans="1:18">
      <c r="A965" s="6" t="s">
        <v>949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R965"/>
    </row>
    <row r="966" spans="1:18">
      <c r="A966" s="6" t="s">
        <v>950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R966"/>
    </row>
    <row r="967" spans="1:18">
      <c r="A967" s="6" t="s">
        <v>951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R967"/>
    </row>
    <row r="968" spans="1:18">
      <c r="A968" s="6" t="s">
        <v>952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R968"/>
    </row>
    <row r="969" spans="1:18">
      <c r="A969" s="6" t="s">
        <v>953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R969"/>
    </row>
    <row r="970" spans="1:18">
      <c r="A970" s="6" t="s">
        <v>954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R970"/>
    </row>
    <row r="971" spans="1:18">
      <c r="A971" s="6" t="s">
        <v>955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R971"/>
    </row>
    <row r="972" spans="1:18">
      <c r="A972" s="6" t="s">
        <v>956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R972"/>
    </row>
    <row r="973" spans="1:18">
      <c r="A973" s="6" t="s">
        <v>2057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R973"/>
    </row>
    <row r="974" spans="1:18">
      <c r="A974" s="6" t="s">
        <v>957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R974"/>
    </row>
    <row r="975" spans="1:18">
      <c r="A975" s="6" t="s">
        <v>958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R975"/>
    </row>
    <row r="976" spans="1:18">
      <c r="A976" s="6" t="s">
        <v>2056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R976"/>
    </row>
    <row r="977" spans="1:18">
      <c r="A977" s="6" t="s">
        <v>959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R977"/>
    </row>
    <row r="978" spans="1:18">
      <c r="A978" s="6" t="s">
        <v>960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R978"/>
    </row>
    <row r="979" spans="1:18">
      <c r="A979" s="6" t="s">
        <v>961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R979"/>
    </row>
    <row r="980" spans="1:18">
      <c r="A980" s="6" t="s">
        <v>962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R980"/>
    </row>
    <row r="981" spans="1:18">
      <c r="A981" s="6" t="s">
        <v>1403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R981"/>
    </row>
    <row r="982" spans="1:18">
      <c r="A982" s="6" t="s">
        <v>1494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8">
      <c r="A983" s="6" t="s">
        <v>1404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8">
      <c r="A984" s="6" t="s">
        <v>1405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8">
      <c r="A985" s="6" t="s">
        <v>1406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8">
      <c r="A986" s="6" t="s">
        <v>1407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8">
      <c r="A987" s="6" t="s">
        <v>1487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8">
      <c r="A988" s="6" t="s">
        <v>1408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8">
      <c r="A989" s="6" t="s">
        <v>1402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8">
      <c r="A990" s="6" t="s">
        <v>1409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8">
      <c r="A991" s="6" t="s">
        <v>1410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8">
      <c r="A992" s="6" t="s">
        <v>1411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1412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1413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1414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1415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1416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1417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1418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1419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1420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1421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1422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1423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1424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1425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1426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1427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1428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1429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1430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1431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1432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1433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1434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1488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1489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1435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1492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1436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1437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1438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1439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1440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1441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1442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1443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1444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1445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1495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1446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1490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1447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1448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1449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1450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1451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1452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1453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1454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1455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1456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1457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1458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1459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1460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1461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1462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1463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1493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1464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1491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1465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1466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1467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1468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1469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1470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1471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1496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1472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1473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1474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1475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1476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1477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1478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1479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1480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2059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1481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1482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2058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1483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1484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1485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1486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1498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1499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1500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1501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1502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1503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1504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1505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1506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1507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1508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1509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1510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1511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1512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1513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1514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1515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1516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1517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1518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1519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1520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1521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1522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1523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1524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1525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1526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1527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1528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1529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1785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1530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1531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1532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1533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1534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1535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1536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1537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1538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1539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1540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1541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1542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1543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1544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1545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1546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1547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1548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1549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1550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1551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1552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1553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1554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1555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1556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1557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1558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1559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1560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1561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1562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1563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1564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1565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1566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1567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1568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1569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1570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1571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1572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1573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1574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1575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1576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1577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1578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1579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1580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1581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1582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1583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1584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1585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2061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1586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1587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2060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1588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1589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1590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1591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1789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1790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1791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1792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1793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1794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1795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1796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1797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1798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1799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1800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1801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1802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1803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1804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1805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1806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1807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1808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1809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1810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1811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1812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1813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1814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1815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1816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1817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1818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1819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1820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1821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1822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1823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1824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1825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1826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1827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1828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1829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1830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1786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1831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1832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1833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1834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1835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1836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1837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1838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1839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1840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1841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1842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1843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1844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1845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1846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1847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1848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1849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1787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1850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1851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1852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1853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1854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1855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1856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1857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1858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1859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1860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1861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1862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1863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1864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1788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1865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1866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1867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1868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1869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1870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1871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1872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1873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1874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2063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1875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1876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2062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1877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1878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1879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1880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1886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1969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1881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1887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1888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1889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1970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1933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1890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1948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1934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1971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1916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1891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1954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1935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1955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1917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1904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1979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1918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1949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1956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1892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1893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1905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1950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1936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1919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1920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1894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1937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1921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1953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1922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1972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1957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1906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1973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1923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1958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1907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1959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1951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1938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1908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1895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1896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1924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1978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1974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1960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1961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1909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1939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1925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1910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1926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1975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1897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1898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1931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1899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1962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1940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1941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1976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1911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1942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1927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1928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1963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1912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1977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1913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1964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1914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1915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1900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1943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1965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1929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1944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1901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1902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1903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1945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1966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1932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2065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1967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1930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2064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1952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1946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1947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1968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2167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2246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2247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2248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2163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2220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2154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2201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2213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2214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2223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2239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2202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2224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2240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2215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2168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2169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2225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2170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2155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2241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1593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2171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2172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2233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2203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2173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2164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2204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2242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2243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2205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2156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2234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2174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2175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2176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2157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2158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2226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2206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2177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2159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2227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2178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2179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2180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2181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2250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2235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2182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2216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2244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2228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2183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2184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2185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2207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2160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2217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2186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2229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2187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2188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2208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2189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2190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2236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2161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2162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2209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2191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2192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2221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2237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2218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2165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2219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2230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2193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2194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2238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2166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2195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2196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2197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2210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2211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2212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2231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2198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2251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2199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2232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2222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2200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2257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2258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2259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2260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2261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2262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2263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2264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2265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2266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2267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2268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2269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2270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2271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2272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2273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2274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2275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2276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2277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2278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2279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2280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2281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2282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2283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2284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2285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2286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2287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2288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2289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1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2290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2291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2292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2293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2294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2295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2296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2297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2298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2299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2300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2301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2302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2303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2304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2305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2306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2307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2308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2309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2310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2311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2312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2313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2314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2315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2316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2317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2318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2319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2320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2321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2322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2323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2324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2325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2326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2327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2328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2329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2330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2331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2332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2333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2334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2335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2336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2337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2338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2339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2340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2341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2342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2343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2344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2345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2346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2347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2348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2349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2350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2351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2352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2353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2354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2355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2356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2357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2358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2359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2360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2361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2362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2363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2364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2365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2366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2367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2368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2369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2370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2371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2372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2373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2374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2375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2376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2377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2378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2379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2380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2381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2382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2383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2384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2385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2386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2387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2388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2389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2390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2391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2392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2393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2394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2395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2396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2397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2398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2399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2400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2401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2402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2403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2404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2405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2406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2407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2408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2409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2410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2411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2412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2413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2414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2415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2416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2417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2418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2419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2420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2421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2422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2423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2424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2425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2426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2427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2428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2429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2430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2431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2432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2433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2434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2435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2436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2437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2438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2439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2440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2441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2442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2443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2444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2445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2446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2447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2448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  <row r="1657" spans="1:13">
      <c r="A1657" s="6" t="s">
        <v>3020</v>
      </c>
      <c r="B1657" s="3">
        <v>0</v>
      </c>
      <c r="C1657" s="6">
        <v>1</v>
      </c>
      <c r="D1657" s="6">
        <v>2</v>
      </c>
      <c r="E1657" s="6">
        <v>4</v>
      </c>
      <c r="F1657" s="6">
        <v>0</v>
      </c>
      <c r="G1657" s="6">
        <v>0</v>
      </c>
      <c r="H1657" s="6">
        <v>14</v>
      </c>
      <c r="I1657" s="6">
        <v>1</v>
      </c>
      <c r="J1657" s="6">
        <v>9</v>
      </c>
      <c r="K1657" s="6">
        <v>8</v>
      </c>
      <c r="L1657" s="6">
        <v>1</v>
      </c>
      <c r="M1657" s="6">
        <v>12</v>
      </c>
    </row>
    <row r="1658" spans="1:13">
      <c r="A1658" s="6" t="s">
        <v>3021</v>
      </c>
      <c r="B1658" s="3">
        <v>0</v>
      </c>
      <c r="C1658" s="6">
        <v>1</v>
      </c>
      <c r="D1658" s="6">
        <v>2</v>
      </c>
      <c r="E1658" s="6">
        <v>1</v>
      </c>
      <c r="F1658" s="6">
        <v>0</v>
      </c>
      <c r="G1658" s="6">
        <v>0</v>
      </c>
      <c r="H1658" s="6">
        <v>5</v>
      </c>
      <c r="I1658" s="6">
        <v>2</v>
      </c>
      <c r="J1658" s="6">
        <v>16</v>
      </c>
      <c r="K1658" s="6">
        <v>4</v>
      </c>
      <c r="L1658" s="6">
        <v>0</v>
      </c>
      <c r="M1658" s="6">
        <v>6</v>
      </c>
    </row>
    <row r="1659" spans="1:13">
      <c r="A1659" s="6" t="s">
        <v>3022</v>
      </c>
      <c r="B1659" s="3">
        <v>0</v>
      </c>
      <c r="C1659" s="6">
        <v>0</v>
      </c>
      <c r="D1659" s="6">
        <v>5</v>
      </c>
      <c r="E1659" s="6">
        <v>8</v>
      </c>
      <c r="F1659" s="6">
        <v>0</v>
      </c>
      <c r="G1659" s="6">
        <v>0</v>
      </c>
      <c r="H1659" s="6">
        <v>18</v>
      </c>
      <c r="I1659" s="6">
        <v>4</v>
      </c>
      <c r="J1659" s="6">
        <v>8</v>
      </c>
      <c r="K1659" s="6">
        <v>9</v>
      </c>
      <c r="L1659" s="6">
        <v>1</v>
      </c>
      <c r="M1659" s="6">
        <v>10</v>
      </c>
    </row>
    <row r="1660" spans="1:13">
      <c r="A1660" s="6" t="s">
        <v>3023</v>
      </c>
      <c r="B1660" s="3">
        <v>0</v>
      </c>
      <c r="C1660" s="6">
        <v>0</v>
      </c>
      <c r="D1660" s="6">
        <v>2</v>
      </c>
      <c r="E1660" s="6">
        <v>2</v>
      </c>
      <c r="F1660" s="6">
        <v>0</v>
      </c>
      <c r="G1660" s="6">
        <v>0</v>
      </c>
      <c r="H1660" s="6">
        <v>5</v>
      </c>
      <c r="I1660" s="6">
        <v>2</v>
      </c>
      <c r="J1660" s="6">
        <v>10</v>
      </c>
      <c r="K1660" s="6">
        <v>4</v>
      </c>
      <c r="L1660" s="6">
        <v>0</v>
      </c>
      <c r="M1660" s="6">
        <v>4</v>
      </c>
    </row>
    <row r="1661" spans="1:13">
      <c r="A1661" s="6" t="s">
        <v>3024</v>
      </c>
      <c r="B1661" s="3">
        <v>0</v>
      </c>
      <c r="C1661" s="6">
        <v>0</v>
      </c>
      <c r="D1661" s="6">
        <v>1</v>
      </c>
      <c r="E1661" s="6">
        <v>4</v>
      </c>
      <c r="F1661" s="6">
        <v>0</v>
      </c>
      <c r="G1661" s="6">
        <v>0</v>
      </c>
      <c r="H1661" s="6">
        <v>5</v>
      </c>
      <c r="I1661" s="6">
        <v>1</v>
      </c>
      <c r="J1661" s="6">
        <v>6</v>
      </c>
      <c r="K1661" s="6">
        <v>6</v>
      </c>
      <c r="L1661" s="6">
        <v>0</v>
      </c>
      <c r="M1661" s="6">
        <v>9</v>
      </c>
    </row>
    <row r="1662" spans="1:13">
      <c r="A1662" s="6" t="s">
        <v>3025</v>
      </c>
      <c r="B1662" s="3">
        <v>0</v>
      </c>
      <c r="C1662" s="6">
        <v>0</v>
      </c>
      <c r="D1662" s="6">
        <v>0</v>
      </c>
      <c r="E1662" s="6">
        <v>2</v>
      </c>
      <c r="F1662" s="6">
        <v>0</v>
      </c>
      <c r="G1662" s="6">
        <v>0</v>
      </c>
      <c r="H1662" s="6">
        <v>5</v>
      </c>
      <c r="I1662" s="6">
        <v>0</v>
      </c>
      <c r="J1662" s="6">
        <v>4</v>
      </c>
      <c r="K1662" s="6">
        <v>5</v>
      </c>
      <c r="L1662" s="6">
        <v>0</v>
      </c>
      <c r="M1662" s="6">
        <v>7</v>
      </c>
    </row>
    <row r="1663" spans="1:13">
      <c r="A1663" s="6" t="s">
        <v>3026</v>
      </c>
      <c r="B1663" s="3">
        <v>1</v>
      </c>
      <c r="C1663" s="6">
        <v>1</v>
      </c>
      <c r="D1663" s="6">
        <v>1</v>
      </c>
      <c r="E1663" s="6">
        <v>1</v>
      </c>
      <c r="F1663" s="6">
        <v>1</v>
      </c>
      <c r="G1663" s="6">
        <v>0</v>
      </c>
      <c r="H1663" s="6">
        <v>4</v>
      </c>
      <c r="I1663" s="6">
        <v>2</v>
      </c>
      <c r="J1663" s="6">
        <v>12</v>
      </c>
      <c r="K1663" s="6">
        <v>4</v>
      </c>
      <c r="L1663" s="6">
        <v>0</v>
      </c>
      <c r="M1663" s="6">
        <v>10</v>
      </c>
    </row>
    <row r="1664" spans="1:13">
      <c r="A1664" s="6" t="s">
        <v>3027</v>
      </c>
      <c r="B1664" s="3">
        <v>0</v>
      </c>
      <c r="C1664" s="6">
        <v>1</v>
      </c>
      <c r="D1664" s="6">
        <v>1</v>
      </c>
      <c r="E1664" s="6">
        <v>2</v>
      </c>
      <c r="F1664" s="6">
        <v>1</v>
      </c>
      <c r="G1664" s="6">
        <v>1</v>
      </c>
      <c r="H1664" s="6">
        <v>5</v>
      </c>
      <c r="I1664" s="6">
        <v>2</v>
      </c>
      <c r="J1664" s="6">
        <v>8</v>
      </c>
      <c r="K1664" s="6">
        <v>8</v>
      </c>
      <c r="L1664" s="6">
        <v>1</v>
      </c>
      <c r="M1664" s="6">
        <v>10</v>
      </c>
    </row>
    <row r="1665" spans="1:13">
      <c r="A1665" s="6" t="s">
        <v>3028</v>
      </c>
      <c r="B1665" s="3">
        <v>0</v>
      </c>
      <c r="C1665" s="6">
        <v>0</v>
      </c>
      <c r="D1665" s="6">
        <v>3</v>
      </c>
      <c r="E1665" s="6">
        <v>0</v>
      </c>
      <c r="F1665" s="6">
        <v>0</v>
      </c>
      <c r="G1665" s="6">
        <v>0</v>
      </c>
      <c r="H1665" s="6">
        <v>5</v>
      </c>
      <c r="I1665" s="6">
        <v>2</v>
      </c>
      <c r="J1665" s="6">
        <v>7</v>
      </c>
      <c r="K1665" s="6">
        <v>12</v>
      </c>
      <c r="L1665" s="6">
        <v>0</v>
      </c>
      <c r="M1665" s="6">
        <v>13</v>
      </c>
    </row>
    <row r="1666" spans="1:13">
      <c r="A1666" s="6" t="s">
        <v>3029</v>
      </c>
      <c r="B1666" s="3">
        <v>0</v>
      </c>
      <c r="C1666" s="6">
        <v>0</v>
      </c>
      <c r="D1666" s="6">
        <v>1</v>
      </c>
      <c r="E1666" s="6">
        <v>0</v>
      </c>
      <c r="F1666" s="6">
        <v>0</v>
      </c>
      <c r="G1666" s="6">
        <v>0</v>
      </c>
      <c r="H1666" s="6">
        <v>1</v>
      </c>
      <c r="I1666" s="6">
        <v>3</v>
      </c>
      <c r="J1666" s="6">
        <v>6</v>
      </c>
      <c r="K1666" s="6">
        <v>3</v>
      </c>
      <c r="L1666" s="6">
        <v>0</v>
      </c>
      <c r="M1666" s="6">
        <v>5</v>
      </c>
    </row>
    <row r="1667" spans="1:13">
      <c r="A1667" s="6" t="s">
        <v>3030</v>
      </c>
      <c r="B1667" s="3">
        <v>0</v>
      </c>
      <c r="C1667" s="6">
        <v>0</v>
      </c>
      <c r="D1667" s="6">
        <v>3</v>
      </c>
      <c r="E1667" s="6">
        <v>0</v>
      </c>
      <c r="F1667" s="6">
        <v>0</v>
      </c>
      <c r="G1667" s="6">
        <v>0</v>
      </c>
      <c r="H1667" s="6">
        <v>4</v>
      </c>
      <c r="I1667" s="6">
        <v>2</v>
      </c>
      <c r="J1667" s="6">
        <v>6</v>
      </c>
      <c r="K1667" s="6">
        <v>2</v>
      </c>
      <c r="L1667" s="6">
        <v>0</v>
      </c>
      <c r="M1667" s="6">
        <v>6</v>
      </c>
    </row>
    <row r="1668" spans="1:13">
      <c r="A1668" s="6" t="s">
        <v>3031</v>
      </c>
      <c r="B1668" s="3">
        <v>1</v>
      </c>
      <c r="C1668" s="6">
        <v>0</v>
      </c>
      <c r="D1668" s="6">
        <v>3</v>
      </c>
      <c r="E1668" s="6">
        <v>0</v>
      </c>
      <c r="F1668" s="6">
        <v>0</v>
      </c>
      <c r="G1668" s="6">
        <v>0</v>
      </c>
      <c r="H1668" s="6">
        <v>4</v>
      </c>
      <c r="I1668" s="6">
        <v>2</v>
      </c>
      <c r="J1668" s="6">
        <v>10</v>
      </c>
      <c r="K1668" s="6">
        <v>4</v>
      </c>
      <c r="L1668" s="6">
        <v>0</v>
      </c>
      <c r="M1668" s="6">
        <v>4</v>
      </c>
    </row>
    <row r="1669" spans="1:13">
      <c r="A1669" s="6" t="s">
        <v>3032</v>
      </c>
      <c r="B1669" s="3"/>
      <c r="C1669" s="6"/>
      <c r="D1669" s="6">
        <v>1</v>
      </c>
      <c r="E1669" s="6"/>
      <c r="F1669" s="6"/>
      <c r="G1669" s="6"/>
      <c r="H1669" s="6">
        <v>2</v>
      </c>
      <c r="I1669" s="6"/>
      <c r="J1669" s="6">
        <v>8</v>
      </c>
      <c r="K1669" s="6">
        <v>9</v>
      </c>
      <c r="L1669" s="6">
        <v>1</v>
      </c>
      <c r="M1669" s="6">
        <v>7</v>
      </c>
    </row>
    <row r="1670" spans="1:13">
      <c r="A1670" s="6" t="s">
        <v>3033</v>
      </c>
      <c r="B1670" s="3">
        <v>0</v>
      </c>
      <c r="C1670" s="6">
        <v>1</v>
      </c>
      <c r="D1670" s="6">
        <v>0</v>
      </c>
      <c r="E1670" s="6">
        <v>3</v>
      </c>
      <c r="F1670" s="6">
        <v>1</v>
      </c>
      <c r="G1670" s="6">
        <v>0</v>
      </c>
      <c r="H1670" s="6">
        <v>6</v>
      </c>
      <c r="I1670" s="6">
        <v>1</v>
      </c>
      <c r="J1670" s="6">
        <v>14</v>
      </c>
      <c r="K1670" s="6">
        <v>9</v>
      </c>
      <c r="L1670" s="6">
        <v>0</v>
      </c>
      <c r="M1670" s="6">
        <v>10</v>
      </c>
    </row>
    <row r="1671" spans="1:13">
      <c r="A1671" s="6" t="s">
        <v>3034</v>
      </c>
      <c r="B1671" s="3">
        <v>0</v>
      </c>
      <c r="C1671" s="6">
        <v>0</v>
      </c>
      <c r="D1671" s="6">
        <v>2</v>
      </c>
      <c r="E1671" s="6">
        <v>5</v>
      </c>
      <c r="F1671" s="6">
        <v>1</v>
      </c>
      <c r="G1671" s="6">
        <v>0</v>
      </c>
      <c r="H1671" s="6">
        <v>10</v>
      </c>
      <c r="I1671" s="6">
        <v>0</v>
      </c>
      <c r="J1671" s="6">
        <v>6</v>
      </c>
      <c r="K1671" s="6">
        <v>7</v>
      </c>
      <c r="L1671" s="6">
        <v>1</v>
      </c>
      <c r="M1671" s="6">
        <v>14</v>
      </c>
    </row>
    <row r="1672" spans="1:13">
      <c r="A1672" s="6" t="s">
        <v>3035</v>
      </c>
      <c r="B1672" s="3">
        <v>0</v>
      </c>
      <c r="C1672" s="6">
        <v>4</v>
      </c>
      <c r="D1672" s="6">
        <v>0</v>
      </c>
      <c r="E1672" s="6">
        <v>2</v>
      </c>
      <c r="F1672" s="6">
        <v>0</v>
      </c>
      <c r="G1672" s="6">
        <v>0</v>
      </c>
      <c r="H1672" s="6">
        <v>6</v>
      </c>
      <c r="I1672" s="6">
        <v>4</v>
      </c>
      <c r="J1672" s="6">
        <v>10</v>
      </c>
      <c r="K1672" s="6">
        <v>6</v>
      </c>
      <c r="L1672" s="6">
        <v>0</v>
      </c>
      <c r="M1672" s="6">
        <v>17</v>
      </c>
    </row>
    <row r="1673" spans="1:13">
      <c r="A1673" s="6" t="s">
        <v>3036</v>
      </c>
      <c r="B1673" s="3">
        <v>0</v>
      </c>
      <c r="C1673" s="6">
        <v>1</v>
      </c>
      <c r="D1673" s="6">
        <v>2</v>
      </c>
      <c r="E1673" s="6">
        <v>2</v>
      </c>
      <c r="F1673" s="6">
        <v>1</v>
      </c>
      <c r="G1673" s="6">
        <v>0</v>
      </c>
      <c r="H1673" s="6">
        <v>5</v>
      </c>
      <c r="I1673" s="6">
        <v>1</v>
      </c>
      <c r="J1673" s="6">
        <v>8</v>
      </c>
      <c r="K1673" s="6">
        <v>8</v>
      </c>
      <c r="L1673" s="6">
        <v>0</v>
      </c>
      <c r="M1673" s="6">
        <v>22</v>
      </c>
    </row>
    <row r="1674" spans="1:13">
      <c r="A1674" s="6" t="s">
        <v>3037</v>
      </c>
      <c r="B1674" s="3"/>
      <c r="C1674" s="6"/>
      <c r="D1674" s="6">
        <v>1</v>
      </c>
      <c r="E1674" s="6">
        <v>3</v>
      </c>
      <c r="F1674" s="6"/>
      <c r="G1674" s="6">
        <v>0</v>
      </c>
      <c r="H1674" s="6">
        <v>5</v>
      </c>
      <c r="I1674" s="6">
        <v>3</v>
      </c>
      <c r="J1674" s="6">
        <v>11</v>
      </c>
      <c r="K1674" s="6">
        <v>5</v>
      </c>
      <c r="L1674" s="6">
        <v>2</v>
      </c>
      <c r="M1674" s="6">
        <v>5</v>
      </c>
    </row>
    <row r="1675" spans="1:13">
      <c r="A1675" s="6" t="s">
        <v>3038</v>
      </c>
      <c r="B1675" s="3">
        <v>0</v>
      </c>
      <c r="C1675" s="6">
        <v>0</v>
      </c>
      <c r="D1675" s="6">
        <v>0</v>
      </c>
      <c r="E1675" s="6">
        <v>5</v>
      </c>
      <c r="F1675" s="6">
        <v>0</v>
      </c>
      <c r="G1675" s="6">
        <v>0</v>
      </c>
      <c r="H1675" s="6">
        <v>5</v>
      </c>
      <c r="I1675" s="6">
        <v>4</v>
      </c>
      <c r="J1675" s="6">
        <v>16</v>
      </c>
      <c r="K1675" s="6">
        <v>8</v>
      </c>
      <c r="L1675" s="6">
        <v>1</v>
      </c>
      <c r="M1675" s="6">
        <v>4</v>
      </c>
    </row>
    <row r="1676" spans="1:13">
      <c r="A1676" s="6" t="s">
        <v>3039</v>
      </c>
      <c r="B1676" s="3">
        <v>0</v>
      </c>
      <c r="C1676" s="6">
        <v>0</v>
      </c>
      <c r="D1676" s="6">
        <v>3</v>
      </c>
      <c r="E1676" s="6">
        <v>4</v>
      </c>
      <c r="F1676" s="6">
        <v>0</v>
      </c>
      <c r="G1676" s="6">
        <v>0</v>
      </c>
      <c r="H1676" s="6">
        <v>7</v>
      </c>
      <c r="I1676" s="6">
        <v>3</v>
      </c>
      <c r="J1676" s="6">
        <v>15</v>
      </c>
      <c r="K1676" s="6">
        <v>6</v>
      </c>
      <c r="L1676" s="6">
        <v>0</v>
      </c>
      <c r="M1676" s="6">
        <v>4</v>
      </c>
    </row>
    <row r="1677" spans="1:13">
      <c r="A1677" s="6" t="s">
        <v>3040</v>
      </c>
      <c r="B1677" s="3">
        <v>0</v>
      </c>
      <c r="C1677" s="6">
        <v>1</v>
      </c>
      <c r="D1677" s="6">
        <v>2</v>
      </c>
      <c r="E1677" s="6">
        <v>1</v>
      </c>
      <c r="F1677" s="6">
        <v>1</v>
      </c>
      <c r="G1677" s="6">
        <v>0</v>
      </c>
      <c r="H1677" s="6">
        <v>4</v>
      </c>
      <c r="I1677" s="6">
        <v>2</v>
      </c>
      <c r="J1677" s="6">
        <v>12</v>
      </c>
      <c r="K1677" s="6">
        <v>4</v>
      </c>
      <c r="L1677" s="6">
        <v>0</v>
      </c>
      <c r="M1677" s="6">
        <v>7</v>
      </c>
    </row>
    <row r="1678" spans="1:13">
      <c r="A1678" s="6" t="s">
        <v>3041</v>
      </c>
      <c r="B1678" s="3">
        <v>0</v>
      </c>
      <c r="C1678" s="6">
        <v>1</v>
      </c>
      <c r="D1678" s="6">
        <v>2</v>
      </c>
      <c r="E1678" s="6">
        <v>3</v>
      </c>
      <c r="F1678" s="6">
        <v>0</v>
      </c>
      <c r="G1678" s="6">
        <v>0</v>
      </c>
      <c r="H1678" s="6">
        <v>10</v>
      </c>
      <c r="I1678" s="6">
        <v>3</v>
      </c>
      <c r="J1678" s="6">
        <v>9</v>
      </c>
      <c r="K1678" s="6">
        <v>11</v>
      </c>
      <c r="L1678" s="6">
        <v>0</v>
      </c>
      <c r="M1678" s="6">
        <v>12</v>
      </c>
    </row>
    <row r="1679" spans="1:13">
      <c r="A1679" s="6" t="s">
        <v>3042</v>
      </c>
      <c r="B1679" s="3">
        <v>0</v>
      </c>
      <c r="C1679" s="6">
        <v>0</v>
      </c>
      <c r="D1679" s="6">
        <v>0</v>
      </c>
      <c r="E1679" s="6">
        <v>0</v>
      </c>
      <c r="F1679" s="6">
        <v>0</v>
      </c>
      <c r="G1679" s="6">
        <v>0</v>
      </c>
      <c r="H1679" s="6">
        <v>2</v>
      </c>
      <c r="I1679" s="6">
        <v>2</v>
      </c>
      <c r="J1679" s="6">
        <v>4</v>
      </c>
      <c r="K1679" s="6">
        <v>3</v>
      </c>
      <c r="L1679" s="6">
        <v>0</v>
      </c>
      <c r="M1679" s="6">
        <v>16</v>
      </c>
    </row>
    <row r="1680" spans="1:13">
      <c r="A1680" s="6" t="s">
        <v>3043</v>
      </c>
      <c r="B1680" s="3">
        <v>2</v>
      </c>
      <c r="C1680" s="6">
        <v>0</v>
      </c>
      <c r="D1680" s="6">
        <v>4</v>
      </c>
      <c r="E1680" s="6">
        <v>9</v>
      </c>
      <c r="F1680" s="6">
        <v>2</v>
      </c>
      <c r="G1680" s="6">
        <v>0</v>
      </c>
      <c r="H1680" s="6">
        <v>21</v>
      </c>
      <c r="I1680" s="6">
        <v>3</v>
      </c>
      <c r="J1680" s="6">
        <v>7</v>
      </c>
      <c r="K1680" s="6">
        <v>5</v>
      </c>
      <c r="L1680" s="6">
        <v>0</v>
      </c>
      <c r="M1680" s="6">
        <v>10</v>
      </c>
    </row>
    <row r="1681" spans="1:13">
      <c r="A1681" s="6" t="s">
        <v>3044</v>
      </c>
      <c r="B1681" s="3">
        <v>0</v>
      </c>
      <c r="C1681" s="6">
        <v>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1</v>
      </c>
      <c r="J1681" s="6">
        <v>11</v>
      </c>
      <c r="K1681" s="6">
        <v>1</v>
      </c>
      <c r="L1681" s="6">
        <v>0</v>
      </c>
      <c r="M1681" s="6">
        <v>2</v>
      </c>
    </row>
    <row r="1682" spans="1:13">
      <c r="A1682" s="6" t="s">
        <v>3045</v>
      </c>
      <c r="B1682" s="3">
        <v>0</v>
      </c>
      <c r="C1682" s="6">
        <v>1</v>
      </c>
      <c r="D1682" s="6">
        <v>3</v>
      </c>
      <c r="E1682" s="6">
        <v>4</v>
      </c>
      <c r="F1682" s="6">
        <v>1</v>
      </c>
      <c r="G1682" s="6">
        <v>0</v>
      </c>
      <c r="H1682" s="6">
        <v>8</v>
      </c>
      <c r="I1682" s="6">
        <v>3</v>
      </c>
      <c r="J1682" s="6">
        <v>7</v>
      </c>
      <c r="K1682" s="6">
        <v>5</v>
      </c>
      <c r="L1682" s="6">
        <v>0</v>
      </c>
      <c r="M1682" s="6">
        <v>6</v>
      </c>
    </row>
    <row r="1683" spans="1:13">
      <c r="A1683" s="6" t="s">
        <v>3046</v>
      </c>
      <c r="B1683" s="3">
        <v>1</v>
      </c>
      <c r="C1683" s="6">
        <v>0</v>
      </c>
      <c r="D1683" s="6">
        <v>0</v>
      </c>
      <c r="E1683" s="6">
        <v>3</v>
      </c>
      <c r="F1683" s="6">
        <v>1</v>
      </c>
      <c r="G1683" s="6">
        <v>0</v>
      </c>
      <c r="H1683" s="6">
        <v>4</v>
      </c>
      <c r="I1683" s="6">
        <v>2</v>
      </c>
      <c r="J1683" s="6">
        <v>11</v>
      </c>
      <c r="K1683" s="6">
        <v>3</v>
      </c>
      <c r="L1683" s="6">
        <v>0</v>
      </c>
      <c r="M1683" s="6">
        <v>5</v>
      </c>
    </row>
    <row r="1684" spans="1:13">
      <c r="A1684" s="6" t="s">
        <v>3047</v>
      </c>
      <c r="B1684" s="3"/>
      <c r="C1684" s="6">
        <v>1</v>
      </c>
      <c r="D1684" s="6">
        <v>4</v>
      </c>
      <c r="E1684" s="6">
        <v>4</v>
      </c>
      <c r="F1684" s="6">
        <v>1</v>
      </c>
      <c r="G1684" s="6">
        <v>0</v>
      </c>
      <c r="H1684" s="6">
        <v>9</v>
      </c>
      <c r="I1684" s="6">
        <v>4</v>
      </c>
      <c r="J1684" s="6">
        <v>14</v>
      </c>
      <c r="K1684" s="6">
        <v>5</v>
      </c>
      <c r="L1684" s="6">
        <v>0</v>
      </c>
      <c r="M1684" s="6">
        <v>9</v>
      </c>
    </row>
    <row r="1685" spans="1:13">
      <c r="A1685" s="6" t="s">
        <v>3048</v>
      </c>
      <c r="B1685" s="3">
        <v>2</v>
      </c>
      <c r="C1685" s="6">
        <v>0</v>
      </c>
      <c r="D1685" s="6">
        <v>0</v>
      </c>
      <c r="E1685" s="6">
        <v>0</v>
      </c>
      <c r="F1685" s="6">
        <v>2</v>
      </c>
      <c r="G1685" s="6">
        <v>0</v>
      </c>
      <c r="H1685" s="6">
        <v>5</v>
      </c>
      <c r="I1685" s="6">
        <v>1</v>
      </c>
      <c r="J1685" s="6">
        <v>8</v>
      </c>
      <c r="K1685" s="6">
        <v>4</v>
      </c>
      <c r="L1685" s="6">
        <v>0</v>
      </c>
      <c r="M1685" s="6">
        <v>2</v>
      </c>
    </row>
    <row r="1686" spans="1:13">
      <c r="A1686" s="6" t="s">
        <v>3049</v>
      </c>
      <c r="B1686" s="3">
        <v>0</v>
      </c>
      <c r="C1686" s="6">
        <v>0</v>
      </c>
      <c r="D1686" s="6">
        <v>1</v>
      </c>
      <c r="E1686" s="6">
        <v>0</v>
      </c>
      <c r="F1686" s="6">
        <v>0</v>
      </c>
      <c r="G1686" s="6">
        <v>0</v>
      </c>
      <c r="H1686" s="6">
        <v>1</v>
      </c>
      <c r="I1686" s="6">
        <v>2</v>
      </c>
      <c r="J1686" s="6">
        <v>8</v>
      </c>
      <c r="K1686" s="6">
        <v>2</v>
      </c>
      <c r="L1686" s="6">
        <v>1</v>
      </c>
      <c r="M1686" s="6">
        <v>4</v>
      </c>
    </row>
    <row r="1687" spans="1:13">
      <c r="A1687" s="6" t="s">
        <v>3050</v>
      </c>
      <c r="B1687" s="3"/>
      <c r="C1687" s="6"/>
      <c r="D1687" s="6">
        <v>2</v>
      </c>
      <c r="E1687" s="6">
        <v>1</v>
      </c>
      <c r="F1687" s="6">
        <v>1</v>
      </c>
      <c r="G1687" s="6">
        <v>0</v>
      </c>
      <c r="H1687" s="6">
        <v>6</v>
      </c>
      <c r="I1687" s="6">
        <v>3</v>
      </c>
      <c r="J1687" s="6">
        <v>11</v>
      </c>
      <c r="K1687" s="6">
        <v>4</v>
      </c>
      <c r="L1687" s="6">
        <v>0</v>
      </c>
      <c r="M1687" s="6">
        <v>2</v>
      </c>
    </row>
    <row r="1688" spans="1:13">
      <c r="A1688" s="6" t="s">
        <v>3051</v>
      </c>
      <c r="B1688" s="3"/>
      <c r="C1688" s="6"/>
      <c r="D1688" s="6">
        <v>1</v>
      </c>
      <c r="E1688" s="6">
        <v>3</v>
      </c>
      <c r="F1688" s="6">
        <v>0</v>
      </c>
      <c r="G1688" s="6">
        <v>0</v>
      </c>
      <c r="H1688" s="6">
        <v>4</v>
      </c>
      <c r="I1688" s="6">
        <v>4</v>
      </c>
      <c r="J1688" s="6">
        <v>9</v>
      </c>
      <c r="K1688" s="6">
        <v>5</v>
      </c>
      <c r="L1688" s="6">
        <v>0</v>
      </c>
      <c r="M1688" s="6">
        <v>11</v>
      </c>
    </row>
    <row r="1689" spans="1:13">
      <c r="A1689" s="6" t="s">
        <v>3052</v>
      </c>
      <c r="B1689" s="3">
        <v>0</v>
      </c>
      <c r="C1689" s="6">
        <v>0</v>
      </c>
      <c r="D1689" s="6">
        <v>3</v>
      </c>
      <c r="E1689" s="6">
        <v>2</v>
      </c>
      <c r="F1689" s="6">
        <v>3</v>
      </c>
      <c r="G1689" s="6">
        <v>0</v>
      </c>
      <c r="H1689" s="6">
        <v>6</v>
      </c>
      <c r="I1689" s="6">
        <v>3</v>
      </c>
      <c r="J1689" s="6">
        <v>9</v>
      </c>
      <c r="K1689" s="6">
        <v>6</v>
      </c>
      <c r="L1689" s="6">
        <v>2</v>
      </c>
      <c r="M1689" s="6">
        <v>6</v>
      </c>
    </row>
    <row r="1690" spans="1:13">
      <c r="A1690" s="6" t="s">
        <v>3053</v>
      </c>
      <c r="B1690" s="3">
        <v>0</v>
      </c>
      <c r="C1690" s="6">
        <v>0</v>
      </c>
      <c r="D1690" s="6">
        <v>1</v>
      </c>
      <c r="E1690" s="6">
        <v>3</v>
      </c>
      <c r="F1690" s="6">
        <v>0</v>
      </c>
      <c r="G1690" s="6">
        <v>0</v>
      </c>
      <c r="H1690" s="6">
        <v>4</v>
      </c>
      <c r="I1690" s="6">
        <v>4</v>
      </c>
      <c r="J1690" s="6">
        <v>8</v>
      </c>
      <c r="K1690" s="6">
        <v>4</v>
      </c>
      <c r="L1690" s="6">
        <v>1</v>
      </c>
      <c r="M1690" s="6">
        <v>9</v>
      </c>
    </row>
    <row r="1691" spans="1:13">
      <c r="A1691" s="6" t="s">
        <v>3054</v>
      </c>
      <c r="B1691" s="3">
        <v>0</v>
      </c>
      <c r="C1691" s="6">
        <v>0</v>
      </c>
      <c r="D1691" s="6">
        <v>2</v>
      </c>
      <c r="E1691" s="6">
        <v>0</v>
      </c>
      <c r="F1691" s="6">
        <v>0</v>
      </c>
      <c r="G1691" s="6">
        <v>0</v>
      </c>
      <c r="H1691" s="6">
        <v>2</v>
      </c>
      <c r="I1691" s="6">
        <v>0</v>
      </c>
      <c r="J1691" s="6">
        <v>1</v>
      </c>
      <c r="K1691" s="6">
        <v>3</v>
      </c>
      <c r="L1691" s="6">
        <v>0</v>
      </c>
      <c r="M1691" s="6">
        <v>1</v>
      </c>
    </row>
    <row r="1692" spans="1:13">
      <c r="A1692" s="6" t="s">
        <v>3055</v>
      </c>
      <c r="B1692" s="3">
        <v>0</v>
      </c>
      <c r="C1692" s="6">
        <v>1</v>
      </c>
      <c r="D1692" s="6">
        <v>3</v>
      </c>
      <c r="E1692" s="6">
        <v>1</v>
      </c>
      <c r="F1692" s="6">
        <v>1</v>
      </c>
      <c r="G1692" s="6">
        <v>0</v>
      </c>
      <c r="H1692" s="6">
        <v>5</v>
      </c>
      <c r="I1692" s="6">
        <v>1</v>
      </c>
      <c r="J1692" s="6">
        <v>9</v>
      </c>
      <c r="K1692" s="6">
        <v>8</v>
      </c>
      <c r="L1692" s="6">
        <v>0</v>
      </c>
      <c r="M1692" s="6">
        <v>8</v>
      </c>
    </row>
    <row r="1693" spans="1:13">
      <c r="A1693" s="6" t="s">
        <v>3056</v>
      </c>
      <c r="B1693" s="3">
        <v>0</v>
      </c>
      <c r="C1693" s="6">
        <v>0</v>
      </c>
      <c r="D1693" s="6">
        <v>1</v>
      </c>
      <c r="E1693" s="6">
        <v>1</v>
      </c>
      <c r="F1693" s="6">
        <v>0</v>
      </c>
      <c r="G1693" s="6">
        <v>0</v>
      </c>
      <c r="H1693" s="6">
        <v>2</v>
      </c>
      <c r="I1693" s="6">
        <v>2</v>
      </c>
      <c r="J1693" s="6">
        <v>6</v>
      </c>
      <c r="K1693" s="6">
        <v>6</v>
      </c>
      <c r="L1693" s="6">
        <v>1</v>
      </c>
      <c r="M1693" s="6">
        <v>5</v>
      </c>
    </row>
    <row r="1694" spans="1:13">
      <c r="A1694" s="6" t="s">
        <v>3057</v>
      </c>
      <c r="B1694" s="3">
        <v>0</v>
      </c>
      <c r="C1694" s="6">
        <v>0</v>
      </c>
      <c r="D1694" s="6">
        <v>1</v>
      </c>
      <c r="E1694" s="6">
        <v>3</v>
      </c>
      <c r="F1694" s="6">
        <v>0</v>
      </c>
      <c r="G1694" s="6">
        <v>0</v>
      </c>
      <c r="H1694" s="6">
        <v>4</v>
      </c>
      <c r="I1694" s="6">
        <v>4</v>
      </c>
      <c r="J1694" s="6">
        <v>6</v>
      </c>
      <c r="K1694" s="6">
        <v>6</v>
      </c>
      <c r="L1694" s="6">
        <v>4</v>
      </c>
      <c r="M1694" s="6">
        <v>11</v>
      </c>
    </row>
    <row r="1695" spans="1:13">
      <c r="A1695" s="6" t="s">
        <v>3058</v>
      </c>
      <c r="B1695" s="3">
        <v>1</v>
      </c>
      <c r="C1695" s="6">
        <v>0</v>
      </c>
      <c r="D1695" s="6">
        <v>2</v>
      </c>
      <c r="E1695" s="6">
        <v>2</v>
      </c>
      <c r="F1695" s="6">
        <v>1</v>
      </c>
      <c r="G1695" s="6">
        <v>0</v>
      </c>
      <c r="H1695" s="6">
        <v>5</v>
      </c>
      <c r="I1695" s="6">
        <v>2</v>
      </c>
      <c r="J1695" s="6">
        <v>11</v>
      </c>
      <c r="K1695" s="6">
        <v>6</v>
      </c>
      <c r="L1695" s="6">
        <v>0</v>
      </c>
      <c r="M1695" s="6">
        <v>4</v>
      </c>
    </row>
    <row r="1696" spans="1:13">
      <c r="A1696" s="6" t="s">
        <v>3059</v>
      </c>
      <c r="B1696" s="3">
        <v>0</v>
      </c>
      <c r="C1696" s="6">
        <v>0</v>
      </c>
      <c r="D1696" s="6">
        <v>0</v>
      </c>
      <c r="E1696" s="6">
        <v>0</v>
      </c>
      <c r="F1696" s="6"/>
      <c r="G1696" s="6">
        <v>0</v>
      </c>
      <c r="H1696" s="6">
        <v>0</v>
      </c>
      <c r="I1696" s="6">
        <v>1</v>
      </c>
      <c r="J1696" s="6">
        <v>7</v>
      </c>
      <c r="K1696" s="6">
        <v>0</v>
      </c>
      <c r="L1696" s="6">
        <v>0</v>
      </c>
      <c r="M1696" s="6">
        <v>3</v>
      </c>
    </row>
    <row r="1697" spans="1:13">
      <c r="A1697" s="6" t="s">
        <v>3060</v>
      </c>
      <c r="B1697" s="3">
        <v>0</v>
      </c>
      <c r="C1697" s="6">
        <v>0</v>
      </c>
      <c r="D1697" s="6">
        <v>4</v>
      </c>
      <c r="E1697" s="6">
        <v>4</v>
      </c>
      <c r="F1697" s="6">
        <v>0</v>
      </c>
      <c r="G1697" s="6">
        <v>0</v>
      </c>
      <c r="H1697" s="6">
        <v>11</v>
      </c>
      <c r="I1697" s="6">
        <v>8</v>
      </c>
      <c r="J1697" s="6">
        <v>8</v>
      </c>
      <c r="K1697" s="6">
        <v>15</v>
      </c>
      <c r="L1697" s="6">
        <v>0</v>
      </c>
      <c r="M1697" s="6"/>
    </row>
    <row r="1698" spans="1:13">
      <c r="A1698" s="6" t="s">
        <v>3061</v>
      </c>
      <c r="B1698" s="3">
        <v>0</v>
      </c>
      <c r="C1698" s="6">
        <v>0</v>
      </c>
      <c r="D1698" s="6">
        <v>4</v>
      </c>
      <c r="E1698" s="6">
        <v>1</v>
      </c>
      <c r="F1698" s="6">
        <v>0</v>
      </c>
      <c r="G1698" s="6">
        <v>0</v>
      </c>
      <c r="H1698" s="6">
        <v>5</v>
      </c>
      <c r="I1698" s="6">
        <v>2</v>
      </c>
      <c r="J1698" s="6">
        <v>8</v>
      </c>
      <c r="K1698" s="6">
        <v>4</v>
      </c>
      <c r="L1698" s="6">
        <v>0</v>
      </c>
      <c r="M1698" s="6">
        <v>7</v>
      </c>
    </row>
    <row r="1699" spans="1:13">
      <c r="A1699" s="6" t="s">
        <v>3062</v>
      </c>
      <c r="B1699" s="3">
        <v>0</v>
      </c>
      <c r="C1699" s="6">
        <v>0</v>
      </c>
      <c r="D1699" s="6">
        <v>2</v>
      </c>
      <c r="E1699" s="6">
        <v>3</v>
      </c>
      <c r="F1699" s="6">
        <v>0</v>
      </c>
      <c r="G1699" s="6">
        <v>0</v>
      </c>
      <c r="H1699" s="6">
        <v>7</v>
      </c>
      <c r="I1699" s="6">
        <v>2</v>
      </c>
      <c r="J1699" s="6">
        <v>8</v>
      </c>
      <c r="K1699" s="6">
        <v>6</v>
      </c>
      <c r="L1699" s="6">
        <v>0</v>
      </c>
      <c r="M1699" s="6">
        <v>3</v>
      </c>
    </row>
    <row r="1700" spans="1:13">
      <c r="A1700" s="6" t="s">
        <v>3063</v>
      </c>
      <c r="B1700" s="3">
        <v>1</v>
      </c>
      <c r="C1700" s="6">
        <v>0</v>
      </c>
      <c r="D1700" s="6">
        <v>1</v>
      </c>
      <c r="E1700" s="6">
        <v>3</v>
      </c>
      <c r="F1700" s="6">
        <v>1</v>
      </c>
      <c r="G1700" s="6">
        <v>0</v>
      </c>
      <c r="H1700" s="6">
        <v>5</v>
      </c>
      <c r="I1700" s="6">
        <v>4</v>
      </c>
      <c r="J1700" s="6">
        <v>7</v>
      </c>
      <c r="K1700" s="6">
        <v>7</v>
      </c>
      <c r="L1700" s="6">
        <v>0</v>
      </c>
      <c r="M1700" s="6">
        <v>12</v>
      </c>
    </row>
    <row r="1701" spans="1:13">
      <c r="A1701" s="6" t="s">
        <v>3064</v>
      </c>
      <c r="B1701" s="3">
        <v>1</v>
      </c>
      <c r="C1701" s="6">
        <v>0</v>
      </c>
      <c r="D1701" s="6">
        <v>1</v>
      </c>
      <c r="E1701" s="6">
        <v>4</v>
      </c>
      <c r="F1701" s="6">
        <v>1</v>
      </c>
      <c r="G1701" s="6">
        <v>0</v>
      </c>
      <c r="H1701" s="6">
        <v>6</v>
      </c>
      <c r="I1701" s="6">
        <v>3</v>
      </c>
      <c r="J1701" s="6">
        <v>10</v>
      </c>
      <c r="K1701" s="6">
        <v>9</v>
      </c>
      <c r="L1701" s="6">
        <v>0</v>
      </c>
      <c r="M1701" s="6">
        <v>10</v>
      </c>
    </row>
    <row r="1702" spans="1:13">
      <c r="A1702" s="6" t="s">
        <v>3065</v>
      </c>
      <c r="B1702" s="3">
        <v>0</v>
      </c>
      <c r="C1702" s="6">
        <v>0</v>
      </c>
      <c r="D1702" s="6">
        <v>2</v>
      </c>
      <c r="E1702" s="6">
        <v>3</v>
      </c>
      <c r="F1702" s="6">
        <v>1</v>
      </c>
      <c r="G1702" s="6">
        <v>0</v>
      </c>
      <c r="H1702" s="6">
        <v>9</v>
      </c>
      <c r="I1702" s="6">
        <v>1</v>
      </c>
      <c r="J1702" s="6">
        <v>8</v>
      </c>
      <c r="K1702" s="6">
        <v>13</v>
      </c>
      <c r="L1702" s="6">
        <v>3</v>
      </c>
      <c r="M1702" s="6">
        <v>13</v>
      </c>
    </row>
    <row r="1703" spans="1:13">
      <c r="A1703" s="6" t="s">
        <v>3066</v>
      </c>
      <c r="B1703" s="3">
        <v>0</v>
      </c>
      <c r="C1703" s="6">
        <v>0</v>
      </c>
      <c r="D1703" s="6">
        <v>0</v>
      </c>
      <c r="E1703" s="6">
        <v>3</v>
      </c>
      <c r="F1703" s="6">
        <v>0</v>
      </c>
      <c r="G1703" s="6">
        <v>0</v>
      </c>
      <c r="H1703" s="6">
        <v>4</v>
      </c>
      <c r="I1703" s="6">
        <v>1</v>
      </c>
      <c r="J1703" s="6">
        <v>10</v>
      </c>
      <c r="K1703" s="6">
        <v>9</v>
      </c>
      <c r="L1703" s="6">
        <v>3</v>
      </c>
      <c r="M1703" s="6">
        <v>5</v>
      </c>
    </row>
    <row r="1704" spans="1:13">
      <c r="A1704" s="6" t="s">
        <v>3067</v>
      </c>
      <c r="B1704" s="3">
        <v>0</v>
      </c>
      <c r="C1704" s="6">
        <v>0</v>
      </c>
      <c r="D1704" s="6">
        <v>3</v>
      </c>
      <c r="E1704" s="6">
        <v>3</v>
      </c>
      <c r="F1704" s="6">
        <v>0</v>
      </c>
      <c r="G1704" s="6">
        <v>1</v>
      </c>
      <c r="H1704" s="6">
        <v>7</v>
      </c>
      <c r="I1704" s="6">
        <v>6</v>
      </c>
      <c r="J1704" s="6">
        <v>8</v>
      </c>
      <c r="K1704" s="6">
        <v>5</v>
      </c>
      <c r="L1704" s="6">
        <v>2</v>
      </c>
      <c r="M1704" s="6">
        <v>8</v>
      </c>
    </row>
    <row r="1705" spans="1:13">
      <c r="A1705" s="6" t="s">
        <v>3068</v>
      </c>
      <c r="B1705" s="3">
        <v>0</v>
      </c>
      <c r="C1705" s="6">
        <v>1</v>
      </c>
      <c r="D1705" s="6">
        <v>1</v>
      </c>
      <c r="E1705" s="6">
        <v>2</v>
      </c>
      <c r="F1705" s="6">
        <v>1</v>
      </c>
      <c r="G1705" s="6">
        <v>0</v>
      </c>
      <c r="H1705" s="6">
        <v>4</v>
      </c>
      <c r="I1705" s="6">
        <v>2</v>
      </c>
      <c r="J1705" s="6">
        <v>5</v>
      </c>
      <c r="K1705" s="6">
        <v>8</v>
      </c>
      <c r="L1705" s="6">
        <v>1</v>
      </c>
      <c r="M1705" s="6">
        <v>11</v>
      </c>
    </row>
    <row r="1706" spans="1:13">
      <c r="A1706" s="6" t="s">
        <v>3069</v>
      </c>
      <c r="B1706" s="3">
        <v>0</v>
      </c>
      <c r="C1706" s="6">
        <v>1</v>
      </c>
      <c r="D1706" s="6">
        <v>2</v>
      </c>
      <c r="E1706" s="6">
        <v>1</v>
      </c>
      <c r="F1706" s="6">
        <v>1</v>
      </c>
      <c r="G1706" s="6">
        <v>0</v>
      </c>
      <c r="H1706" s="6">
        <v>4</v>
      </c>
      <c r="I1706" s="6">
        <v>5</v>
      </c>
      <c r="J1706" s="6">
        <v>8</v>
      </c>
      <c r="K1706" s="6">
        <v>5</v>
      </c>
      <c r="L1706" s="6">
        <v>2</v>
      </c>
      <c r="M1706" s="6">
        <v>8</v>
      </c>
    </row>
    <row r="1707" spans="1:13">
      <c r="A1707" s="6" t="s">
        <v>3070</v>
      </c>
      <c r="B1707" s="3">
        <v>0</v>
      </c>
      <c r="C1707" s="6">
        <v>0</v>
      </c>
      <c r="D1707" s="6">
        <v>0</v>
      </c>
      <c r="E1707" s="6">
        <v>3</v>
      </c>
      <c r="F1707" s="6">
        <v>0</v>
      </c>
      <c r="G1707" s="6">
        <v>0</v>
      </c>
      <c r="H1707" s="6">
        <v>4</v>
      </c>
      <c r="I1707" s="6">
        <v>4</v>
      </c>
      <c r="J1707" s="6">
        <v>5</v>
      </c>
      <c r="K1707" s="6">
        <v>0</v>
      </c>
      <c r="L1707" s="6">
        <v>0</v>
      </c>
      <c r="M1707" s="6">
        <v>7</v>
      </c>
    </row>
    <row r="1708" spans="1:13">
      <c r="A1708" s="6" t="s">
        <v>3071</v>
      </c>
      <c r="B1708" s="3">
        <v>0</v>
      </c>
      <c r="C1708" s="6">
        <v>0</v>
      </c>
      <c r="D1708" s="6">
        <v>1</v>
      </c>
      <c r="E1708" s="6">
        <v>0</v>
      </c>
      <c r="F1708" s="6">
        <v>0</v>
      </c>
      <c r="G1708" s="6">
        <v>0</v>
      </c>
      <c r="H1708" s="6">
        <v>2</v>
      </c>
      <c r="I1708" s="6">
        <v>0</v>
      </c>
      <c r="J1708" s="6">
        <v>4</v>
      </c>
      <c r="K1708" s="6">
        <v>3</v>
      </c>
      <c r="L1708" s="6">
        <v>1</v>
      </c>
      <c r="M1708" s="6">
        <v>10</v>
      </c>
    </row>
    <row r="1709" spans="1:13">
      <c r="A1709" s="6" t="s">
        <v>3072</v>
      </c>
      <c r="B1709" s="3"/>
      <c r="C1709" s="6"/>
      <c r="D1709" s="6">
        <v>2</v>
      </c>
      <c r="E1709" s="6">
        <v>2</v>
      </c>
      <c r="F1709" s="6">
        <v>0</v>
      </c>
      <c r="G1709" s="6">
        <v>0</v>
      </c>
      <c r="H1709" s="6">
        <v>0</v>
      </c>
      <c r="I1709" s="6">
        <v>1</v>
      </c>
      <c r="J1709" s="6">
        <v>2</v>
      </c>
      <c r="K1709" s="6">
        <v>4</v>
      </c>
      <c r="L1709" s="6">
        <v>0</v>
      </c>
      <c r="M1709" s="6">
        <v>4</v>
      </c>
    </row>
    <row r="1710" spans="1:13">
      <c r="A1710" s="6" t="s">
        <v>3073</v>
      </c>
      <c r="B1710" s="3"/>
      <c r="C1710" s="6"/>
      <c r="D1710" s="6"/>
      <c r="E1710" s="6"/>
      <c r="F1710" s="6">
        <v>0</v>
      </c>
      <c r="G1710" s="6">
        <v>0</v>
      </c>
      <c r="H1710" s="6">
        <v>1</v>
      </c>
      <c r="I1710" s="6">
        <v>2</v>
      </c>
      <c r="J1710" s="6">
        <v>0</v>
      </c>
      <c r="K1710" s="6">
        <v>5</v>
      </c>
      <c r="L1710" s="6">
        <v>0</v>
      </c>
      <c r="M1710" s="6">
        <v>7</v>
      </c>
    </row>
    <row r="1711" spans="1:13">
      <c r="A1711" s="6" t="s">
        <v>3074</v>
      </c>
      <c r="B1711" s="3">
        <v>0</v>
      </c>
      <c r="C1711" s="6">
        <v>1</v>
      </c>
      <c r="D1711" s="6">
        <v>3</v>
      </c>
      <c r="E1711" s="6">
        <v>5</v>
      </c>
      <c r="F1711" s="6">
        <v>0</v>
      </c>
      <c r="G1711" s="6">
        <v>0</v>
      </c>
      <c r="H1711" s="6">
        <v>12</v>
      </c>
      <c r="I1711" s="6">
        <v>5</v>
      </c>
      <c r="J1711" s="6">
        <v>11</v>
      </c>
      <c r="K1711" s="6">
        <v>4</v>
      </c>
      <c r="L1711" s="6">
        <v>1</v>
      </c>
      <c r="M1711" s="6">
        <v>10</v>
      </c>
    </row>
    <row r="1712" spans="1:13">
      <c r="A1712" s="6" t="s">
        <v>3075</v>
      </c>
      <c r="B1712" s="3">
        <v>0</v>
      </c>
      <c r="C1712" s="6">
        <v>0</v>
      </c>
      <c r="D1712" s="6">
        <v>0</v>
      </c>
      <c r="E1712" s="6">
        <v>1</v>
      </c>
      <c r="F1712" s="6">
        <v>0</v>
      </c>
      <c r="G1712" s="6">
        <v>0</v>
      </c>
      <c r="H1712" s="6">
        <v>5</v>
      </c>
      <c r="I1712" s="6">
        <v>0</v>
      </c>
      <c r="J1712" s="6">
        <v>2</v>
      </c>
      <c r="K1712" s="6">
        <v>4</v>
      </c>
      <c r="L1712" s="6">
        <v>0</v>
      </c>
      <c r="M1712" s="6">
        <v>13</v>
      </c>
    </row>
    <row r="1713" spans="1:13">
      <c r="A1713" s="6" t="s">
        <v>3116</v>
      </c>
      <c r="B1713" s="3">
        <v>0</v>
      </c>
      <c r="C1713" s="6">
        <v>0</v>
      </c>
      <c r="D1713" s="6">
        <v>2</v>
      </c>
      <c r="E1713" s="6">
        <v>0</v>
      </c>
      <c r="F1713" s="6">
        <v>0</v>
      </c>
      <c r="G1713" s="6">
        <v>0</v>
      </c>
      <c r="H1713" s="6">
        <v>6</v>
      </c>
      <c r="I1713" s="6">
        <v>2</v>
      </c>
      <c r="J1713" s="6">
        <v>7</v>
      </c>
      <c r="K1713" s="6">
        <v>6</v>
      </c>
      <c r="L1713" s="6">
        <v>3</v>
      </c>
      <c r="M1713" s="6">
        <v>9</v>
      </c>
    </row>
    <row r="1714" spans="1:13">
      <c r="A1714" s="6" t="s">
        <v>3076</v>
      </c>
      <c r="B1714" s="3">
        <v>0</v>
      </c>
      <c r="C1714" s="6">
        <v>0</v>
      </c>
      <c r="D1714" s="6">
        <v>3</v>
      </c>
      <c r="E1714" s="6">
        <v>2</v>
      </c>
      <c r="F1714" s="6">
        <v>0</v>
      </c>
      <c r="G1714" s="6">
        <v>0</v>
      </c>
      <c r="H1714" s="6">
        <v>9</v>
      </c>
      <c r="I1714" s="6">
        <v>3</v>
      </c>
      <c r="J1714" s="6">
        <v>17</v>
      </c>
      <c r="K1714" s="6">
        <v>13</v>
      </c>
      <c r="L1714" s="6">
        <v>0</v>
      </c>
      <c r="M1714" s="6">
        <v>7</v>
      </c>
    </row>
    <row r="1715" spans="1:13">
      <c r="A1715" s="6" t="s">
        <v>3077</v>
      </c>
      <c r="B1715" s="3">
        <v>0</v>
      </c>
      <c r="C1715" s="6">
        <v>1</v>
      </c>
      <c r="D1715" s="6">
        <v>5</v>
      </c>
      <c r="E1715" s="6">
        <v>3</v>
      </c>
      <c r="F1715" s="6">
        <v>0</v>
      </c>
      <c r="G1715" s="6">
        <v>0</v>
      </c>
      <c r="H1715" s="6">
        <v>11</v>
      </c>
      <c r="I1715" s="6">
        <v>4</v>
      </c>
      <c r="J1715" s="6">
        <v>15</v>
      </c>
      <c r="K1715" s="6">
        <v>6</v>
      </c>
      <c r="L1715" s="6">
        <v>0</v>
      </c>
      <c r="M1715" s="6">
        <v>11</v>
      </c>
    </row>
    <row r="1716" spans="1:13">
      <c r="A1716" s="6" t="s">
        <v>3078</v>
      </c>
      <c r="B1716" s="3">
        <v>0</v>
      </c>
      <c r="C1716" s="6">
        <v>0</v>
      </c>
      <c r="D1716" s="6">
        <v>1</v>
      </c>
      <c r="E1716" s="6">
        <v>6</v>
      </c>
      <c r="F1716" s="6">
        <v>0</v>
      </c>
      <c r="G1716" s="6">
        <v>0</v>
      </c>
      <c r="H1716" s="6">
        <v>8</v>
      </c>
      <c r="I1716" s="6">
        <v>3</v>
      </c>
      <c r="J1716" s="6">
        <v>9</v>
      </c>
      <c r="K1716" s="6">
        <v>4</v>
      </c>
      <c r="L1716" s="6">
        <v>1</v>
      </c>
      <c r="M1716" s="6">
        <v>5</v>
      </c>
    </row>
    <row r="1717" spans="1:13">
      <c r="A1717" s="6" t="s">
        <v>3079</v>
      </c>
      <c r="B1717" s="3">
        <v>0</v>
      </c>
      <c r="C1717" s="6">
        <v>0</v>
      </c>
      <c r="D1717" s="6">
        <v>1</v>
      </c>
      <c r="E1717" s="6">
        <v>1</v>
      </c>
      <c r="F1717" s="6">
        <v>0</v>
      </c>
      <c r="G1717" s="6">
        <v>0</v>
      </c>
      <c r="H1717" s="6">
        <v>4</v>
      </c>
      <c r="I1717" s="6">
        <v>3</v>
      </c>
      <c r="J1717" s="6">
        <v>7</v>
      </c>
      <c r="K1717" s="6">
        <v>4</v>
      </c>
      <c r="L1717" s="6">
        <v>0</v>
      </c>
      <c r="M1717" s="6">
        <v>11</v>
      </c>
    </row>
    <row r="1718" spans="1:13">
      <c r="A1718" s="6" t="s">
        <v>3080</v>
      </c>
      <c r="B1718" s="3">
        <v>0</v>
      </c>
      <c r="C1718" s="6">
        <v>1</v>
      </c>
      <c r="D1718" s="6">
        <v>1</v>
      </c>
      <c r="E1718" s="6">
        <v>0</v>
      </c>
      <c r="F1718" s="6">
        <v>0</v>
      </c>
      <c r="G1718" s="6">
        <v>0</v>
      </c>
      <c r="H1718" s="6">
        <v>2</v>
      </c>
      <c r="I1718" s="6">
        <v>4</v>
      </c>
      <c r="J1718" s="6">
        <v>9</v>
      </c>
      <c r="K1718" s="6">
        <v>3</v>
      </c>
      <c r="L1718" s="6">
        <v>0</v>
      </c>
      <c r="M1718" s="6">
        <v>2</v>
      </c>
    </row>
    <row r="1719" spans="1:13">
      <c r="A1719" s="6" t="s">
        <v>3081</v>
      </c>
      <c r="B1719" s="3">
        <v>0</v>
      </c>
      <c r="C1719" s="6">
        <v>0</v>
      </c>
      <c r="D1719" s="6">
        <v>5</v>
      </c>
      <c r="E1719" s="6">
        <v>3</v>
      </c>
      <c r="F1719" s="6">
        <v>0</v>
      </c>
      <c r="G1719" s="6">
        <v>0</v>
      </c>
      <c r="H1719" s="6">
        <v>8</v>
      </c>
      <c r="I1719" s="6">
        <v>5</v>
      </c>
      <c r="J1719" s="6">
        <v>18</v>
      </c>
      <c r="K1719" s="6">
        <v>12</v>
      </c>
      <c r="L1719" s="6">
        <v>1</v>
      </c>
      <c r="M1719" s="6">
        <v>15</v>
      </c>
    </row>
    <row r="1720" spans="1:13">
      <c r="A1720" s="6" t="s">
        <v>3082</v>
      </c>
      <c r="B1720" s="3">
        <v>1</v>
      </c>
      <c r="C1720" s="6"/>
      <c r="D1720" s="6">
        <v>1</v>
      </c>
      <c r="E1720" s="6">
        <v>4</v>
      </c>
      <c r="F1720" s="6">
        <v>1</v>
      </c>
      <c r="G1720" s="6">
        <v>0</v>
      </c>
      <c r="H1720" s="6">
        <v>10</v>
      </c>
      <c r="I1720" s="6">
        <v>1</v>
      </c>
      <c r="J1720" s="6">
        <v>3</v>
      </c>
      <c r="K1720" s="6">
        <v>5</v>
      </c>
      <c r="L1720" s="6">
        <v>1</v>
      </c>
      <c r="M1720" s="6">
        <v>18</v>
      </c>
    </row>
    <row r="1721" spans="1:13">
      <c r="A1721" s="6" t="s">
        <v>3083</v>
      </c>
      <c r="B1721" s="3">
        <v>0</v>
      </c>
      <c r="C1721" s="6">
        <v>0</v>
      </c>
      <c r="D1721" s="6">
        <v>1</v>
      </c>
      <c r="E1721" s="6">
        <v>2</v>
      </c>
      <c r="F1721" s="6">
        <v>0</v>
      </c>
      <c r="G1721" s="6">
        <v>0</v>
      </c>
      <c r="H1721" s="6">
        <v>3</v>
      </c>
      <c r="I1721" s="6">
        <v>1</v>
      </c>
      <c r="J1721" s="6">
        <v>7</v>
      </c>
      <c r="K1721" s="6">
        <v>2</v>
      </c>
      <c r="L1721" s="6">
        <v>0</v>
      </c>
      <c r="M1721" s="6">
        <v>11</v>
      </c>
    </row>
    <row r="1722" spans="1:13">
      <c r="A1722" s="6" t="s">
        <v>3084</v>
      </c>
      <c r="B1722" s="3">
        <v>1</v>
      </c>
      <c r="C1722" s="6">
        <v>0</v>
      </c>
      <c r="D1722" s="6">
        <v>5</v>
      </c>
      <c r="E1722" s="6">
        <v>1</v>
      </c>
      <c r="F1722" s="6">
        <v>1</v>
      </c>
      <c r="G1722" s="6">
        <v>0</v>
      </c>
      <c r="H1722" s="6">
        <v>8</v>
      </c>
      <c r="I1722" s="6">
        <v>1</v>
      </c>
      <c r="J1722" s="6">
        <v>8</v>
      </c>
      <c r="K1722" s="6">
        <v>1</v>
      </c>
      <c r="L1722" s="6">
        <v>5</v>
      </c>
      <c r="M1722" s="6">
        <v>11</v>
      </c>
    </row>
    <row r="1723" spans="1:13">
      <c r="A1723" s="6" t="s">
        <v>3085</v>
      </c>
      <c r="B1723" s="3">
        <v>2</v>
      </c>
      <c r="C1723" s="6">
        <v>0</v>
      </c>
      <c r="D1723" s="6">
        <v>1</v>
      </c>
      <c r="E1723" s="6">
        <v>3</v>
      </c>
      <c r="F1723" s="6">
        <v>2</v>
      </c>
      <c r="G1723" s="6">
        <v>0</v>
      </c>
      <c r="H1723" s="6">
        <v>8</v>
      </c>
      <c r="I1723" s="6">
        <v>4</v>
      </c>
      <c r="J1723" s="6">
        <v>11</v>
      </c>
      <c r="K1723" s="6">
        <v>8</v>
      </c>
      <c r="L1723" s="6">
        <v>0</v>
      </c>
      <c r="M1723" s="6">
        <v>22</v>
      </c>
    </row>
    <row r="1724" spans="1:13">
      <c r="A1724" s="6" t="s">
        <v>3086</v>
      </c>
      <c r="B1724" s="3">
        <v>1</v>
      </c>
      <c r="C1724" s="6"/>
      <c r="D1724" s="6">
        <v>1</v>
      </c>
      <c r="E1724" s="6">
        <v>4</v>
      </c>
      <c r="F1724" s="6">
        <v>1</v>
      </c>
      <c r="G1724" s="6">
        <v>0</v>
      </c>
      <c r="H1724" s="6">
        <v>6</v>
      </c>
      <c r="I1724" s="6">
        <v>2</v>
      </c>
      <c r="J1724" s="6">
        <v>10</v>
      </c>
      <c r="K1724" s="6">
        <v>3</v>
      </c>
      <c r="L1724" s="6">
        <v>0</v>
      </c>
      <c r="M1724" s="6">
        <v>4</v>
      </c>
    </row>
    <row r="1725" spans="1:13">
      <c r="A1725" s="6" t="s">
        <v>3087</v>
      </c>
      <c r="B1725" s="3"/>
      <c r="C1725" s="6"/>
      <c r="D1725" s="6">
        <v>2</v>
      </c>
      <c r="E1725" s="6">
        <v>4</v>
      </c>
      <c r="F1725" s="6">
        <v>0</v>
      </c>
      <c r="G1725" s="6">
        <v>0</v>
      </c>
      <c r="H1725" s="6">
        <v>6</v>
      </c>
      <c r="I1725" s="6">
        <v>6</v>
      </c>
      <c r="J1725" s="6">
        <v>14</v>
      </c>
      <c r="K1725" s="6">
        <v>9</v>
      </c>
      <c r="L1725" s="6">
        <v>0</v>
      </c>
      <c r="M1725" s="6">
        <v>7</v>
      </c>
    </row>
    <row r="1726" spans="1:13">
      <c r="A1726" s="6" t="s">
        <v>3088</v>
      </c>
      <c r="B1726" s="3">
        <v>0</v>
      </c>
      <c r="C1726" s="6">
        <v>0</v>
      </c>
      <c r="D1726" s="6">
        <v>1</v>
      </c>
      <c r="E1726" s="6">
        <v>2</v>
      </c>
      <c r="F1726" s="6">
        <v>0</v>
      </c>
      <c r="G1726" s="6">
        <v>0</v>
      </c>
      <c r="H1726" s="6">
        <v>4</v>
      </c>
      <c r="I1726" s="6">
        <v>2</v>
      </c>
      <c r="J1726" s="6">
        <v>8</v>
      </c>
      <c r="K1726" s="6">
        <v>4</v>
      </c>
      <c r="L1726" s="6">
        <v>0</v>
      </c>
      <c r="M1726" s="6">
        <v>10</v>
      </c>
    </row>
    <row r="1727" spans="1:13">
      <c r="A1727" s="6" t="s">
        <v>3089</v>
      </c>
      <c r="B1727" s="3">
        <v>0</v>
      </c>
      <c r="C1727" s="6">
        <v>0</v>
      </c>
      <c r="D1727" s="6">
        <v>0</v>
      </c>
      <c r="E1727" s="6">
        <v>2</v>
      </c>
      <c r="F1727" s="6">
        <v>0</v>
      </c>
      <c r="G1727" s="6">
        <v>0</v>
      </c>
      <c r="H1727" s="6">
        <v>6</v>
      </c>
      <c r="I1727" s="6">
        <v>1</v>
      </c>
      <c r="J1727" s="6">
        <v>3</v>
      </c>
      <c r="K1727" s="6">
        <v>2</v>
      </c>
      <c r="L1727" s="6">
        <v>0</v>
      </c>
      <c r="M1727" s="6">
        <v>2</v>
      </c>
    </row>
    <row r="1728" spans="1:13">
      <c r="A1728" s="6" t="s">
        <v>3090</v>
      </c>
      <c r="B1728" s="3">
        <v>0</v>
      </c>
      <c r="C1728" s="6">
        <v>0</v>
      </c>
      <c r="D1728" s="6">
        <v>1</v>
      </c>
      <c r="E1728" s="6">
        <v>1</v>
      </c>
      <c r="F1728" s="6">
        <v>0</v>
      </c>
      <c r="G1728" s="6">
        <v>1</v>
      </c>
      <c r="H1728" s="6">
        <v>2</v>
      </c>
      <c r="I1728" s="6">
        <v>2</v>
      </c>
      <c r="J1728" s="6">
        <v>6</v>
      </c>
      <c r="K1728" s="6">
        <v>3</v>
      </c>
      <c r="L1728" s="6">
        <v>2</v>
      </c>
      <c r="M1728" s="6">
        <v>3</v>
      </c>
    </row>
    <row r="1729" spans="1:13">
      <c r="A1729" s="6" t="s">
        <v>3091</v>
      </c>
      <c r="B1729" s="3">
        <v>0</v>
      </c>
      <c r="C1729" s="6">
        <v>0</v>
      </c>
      <c r="D1729" s="6">
        <v>1</v>
      </c>
      <c r="E1729" s="6">
        <v>5</v>
      </c>
      <c r="F1729" s="6">
        <v>0</v>
      </c>
      <c r="G1729" s="6">
        <v>0</v>
      </c>
      <c r="H1729" s="6">
        <v>7</v>
      </c>
      <c r="I1729" s="6">
        <v>3</v>
      </c>
      <c r="J1729" s="6">
        <v>9</v>
      </c>
      <c r="K1729" s="6">
        <v>4</v>
      </c>
      <c r="L1729" s="6">
        <v>0</v>
      </c>
      <c r="M1729" s="6">
        <v>5</v>
      </c>
    </row>
    <row r="1730" spans="1:13">
      <c r="A1730" s="6" t="s">
        <v>3092</v>
      </c>
      <c r="B1730" s="3">
        <v>0</v>
      </c>
      <c r="C1730" s="6">
        <v>0</v>
      </c>
      <c r="D1730" s="6">
        <v>0</v>
      </c>
      <c r="E1730" s="6">
        <v>4</v>
      </c>
      <c r="F1730" s="6">
        <v>0</v>
      </c>
      <c r="G1730" s="6">
        <v>1</v>
      </c>
      <c r="H1730" s="6">
        <v>5</v>
      </c>
      <c r="I1730" s="6">
        <v>1</v>
      </c>
      <c r="J1730" s="6">
        <v>6</v>
      </c>
      <c r="K1730" s="6">
        <v>7</v>
      </c>
      <c r="L1730" s="6">
        <v>0</v>
      </c>
      <c r="M1730" s="6">
        <v>10</v>
      </c>
    </row>
    <row r="1731" spans="1:13">
      <c r="A1731" s="6" t="s">
        <v>3093</v>
      </c>
      <c r="B1731" s="3">
        <v>0</v>
      </c>
      <c r="C1731" s="6">
        <v>0</v>
      </c>
      <c r="D1731" s="6">
        <v>2</v>
      </c>
      <c r="E1731" s="6">
        <v>3</v>
      </c>
      <c r="F1731" s="6">
        <v>0</v>
      </c>
      <c r="G1731" s="6">
        <v>0</v>
      </c>
      <c r="H1731" s="6">
        <v>8</v>
      </c>
      <c r="I1731" s="6">
        <v>1</v>
      </c>
      <c r="J1731" s="6">
        <v>10</v>
      </c>
      <c r="K1731" s="6">
        <v>7</v>
      </c>
      <c r="L1731" s="6">
        <v>1</v>
      </c>
      <c r="M1731" s="6">
        <v>8</v>
      </c>
    </row>
    <row r="1732" spans="1:13">
      <c r="A1732" s="6" t="s">
        <v>3094</v>
      </c>
      <c r="B1732" s="3"/>
      <c r="C1732" s="6">
        <v>1</v>
      </c>
      <c r="D1732" s="6">
        <v>3</v>
      </c>
      <c r="E1732" s="6">
        <v>3</v>
      </c>
      <c r="F1732" s="6"/>
      <c r="G1732" s="6"/>
      <c r="H1732" s="6">
        <v>7</v>
      </c>
      <c r="I1732" s="6">
        <v>4</v>
      </c>
      <c r="J1732" s="6">
        <v>8</v>
      </c>
      <c r="K1732" s="6">
        <v>8</v>
      </c>
      <c r="L1732" s="6"/>
      <c r="M1732" s="6">
        <v>19</v>
      </c>
    </row>
    <row r="1733" spans="1:13">
      <c r="A1733" s="6" t="s">
        <v>3095</v>
      </c>
      <c r="B1733" s="3">
        <v>1</v>
      </c>
      <c r="C1733" s="6">
        <v>0</v>
      </c>
      <c r="D1733" s="6">
        <v>3</v>
      </c>
      <c r="E1733" s="6">
        <v>2</v>
      </c>
      <c r="F1733" s="6">
        <v>1</v>
      </c>
      <c r="G1733" s="6">
        <v>0</v>
      </c>
      <c r="H1733" s="6">
        <v>6</v>
      </c>
      <c r="I1733" s="6">
        <v>3</v>
      </c>
      <c r="J1733" s="6">
        <v>6</v>
      </c>
      <c r="K1733" s="6">
        <v>3</v>
      </c>
      <c r="L1733" s="6">
        <v>0</v>
      </c>
      <c r="M1733" s="6">
        <v>17</v>
      </c>
    </row>
    <row r="1734" spans="1:13">
      <c r="A1734" s="6" t="s">
        <v>3096</v>
      </c>
      <c r="B1734" s="3">
        <v>0</v>
      </c>
      <c r="C1734" s="6">
        <v>1</v>
      </c>
      <c r="D1734" s="6">
        <v>0</v>
      </c>
      <c r="E1734" s="6">
        <v>2</v>
      </c>
      <c r="F1734" s="6">
        <v>1</v>
      </c>
      <c r="G1734" s="6">
        <v>0</v>
      </c>
      <c r="H1734" s="6">
        <v>4</v>
      </c>
      <c r="I1734" s="6">
        <v>3</v>
      </c>
      <c r="J1734" s="6">
        <v>11</v>
      </c>
      <c r="K1734" s="6">
        <v>2</v>
      </c>
      <c r="L1734" s="6">
        <v>0</v>
      </c>
      <c r="M1734" s="6">
        <v>2</v>
      </c>
    </row>
    <row r="1735" spans="1:13">
      <c r="A1735" s="6" t="s">
        <v>3097</v>
      </c>
      <c r="B1735" s="3">
        <v>0</v>
      </c>
      <c r="C1735" s="6">
        <v>0</v>
      </c>
      <c r="D1735" s="6">
        <v>1</v>
      </c>
      <c r="E1735" s="6">
        <v>2</v>
      </c>
      <c r="F1735" s="6">
        <v>0</v>
      </c>
      <c r="G1735" s="6">
        <v>0</v>
      </c>
      <c r="H1735" s="6">
        <v>4</v>
      </c>
      <c r="I1735" s="6">
        <v>1</v>
      </c>
      <c r="J1735" s="6">
        <v>8</v>
      </c>
      <c r="K1735" s="6">
        <v>5</v>
      </c>
      <c r="L1735" s="6">
        <v>0</v>
      </c>
      <c r="M1735" s="6">
        <v>14</v>
      </c>
    </row>
    <row r="1736" spans="1:13">
      <c r="A1736" s="6" t="s">
        <v>3098</v>
      </c>
      <c r="B1736" s="3"/>
      <c r="C1736" s="6">
        <v>1</v>
      </c>
      <c r="D1736" s="6">
        <v>5</v>
      </c>
      <c r="E1736" s="6">
        <v>2</v>
      </c>
      <c r="F1736" s="6">
        <v>1</v>
      </c>
      <c r="G1736" s="6">
        <v>0</v>
      </c>
      <c r="H1736" s="6">
        <v>10</v>
      </c>
      <c r="I1736" s="6">
        <v>0</v>
      </c>
      <c r="J1736" s="6">
        <v>9</v>
      </c>
      <c r="K1736" s="6">
        <v>6</v>
      </c>
      <c r="L1736" s="6">
        <v>0</v>
      </c>
      <c r="M1736" s="6">
        <v>10</v>
      </c>
    </row>
    <row r="1737" spans="1:13">
      <c r="A1737" s="6" t="s">
        <v>3099</v>
      </c>
      <c r="B1737" s="3">
        <v>0</v>
      </c>
      <c r="C1737" s="6">
        <v>1</v>
      </c>
      <c r="D1737" s="6">
        <v>2</v>
      </c>
      <c r="E1737" s="6">
        <v>1</v>
      </c>
      <c r="F1737" s="6">
        <v>1</v>
      </c>
      <c r="G1737" s="6">
        <v>0</v>
      </c>
      <c r="H1737" s="6">
        <v>6</v>
      </c>
      <c r="I1737" s="6">
        <v>2</v>
      </c>
      <c r="J1737" s="6">
        <v>6</v>
      </c>
      <c r="K1737" s="6">
        <v>8</v>
      </c>
      <c r="L1737" s="6">
        <v>1</v>
      </c>
      <c r="M1737" s="6">
        <v>15</v>
      </c>
    </row>
    <row r="1738" spans="1:13">
      <c r="A1738" s="6" t="s">
        <v>3100</v>
      </c>
      <c r="B1738" s="3">
        <v>0</v>
      </c>
      <c r="C1738" s="6">
        <v>1</v>
      </c>
      <c r="D1738" s="6">
        <v>2</v>
      </c>
      <c r="E1738" s="6">
        <v>4</v>
      </c>
      <c r="F1738" s="6">
        <v>0</v>
      </c>
      <c r="G1738" s="6">
        <v>0</v>
      </c>
      <c r="H1738" s="6">
        <v>14</v>
      </c>
      <c r="I1738" s="6">
        <v>1</v>
      </c>
      <c r="J1738" s="6">
        <v>9</v>
      </c>
      <c r="K1738" s="6">
        <v>8</v>
      </c>
      <c r="L1738" s="6">
        <v>1</v>
      </c>
      <c r="M1738" s="6">
        <v>12</v>
      </c>
    </row>
    <row r="1739" spans="1:13">
      <c r="A1739" s="6" t="s">
        <v>3101</v>
      </c>
      <c r="B1739" s="3">
        <v>0</v>
      </c>
      <c r="C1739" s="6">
        <v>0</v>
      </c>
      <c r="D1739" s="6">
        <v>1</v>
      </c>
      <c r="E1739" s="6">
        <v>0</v>
      </c>
      <c r="F1739" s="6">
        <v>0</v>
      </c>
      <c r="G1739" s="6">
        <v>0</v>
      </c>
      <c r="H1739" s="6">
        <v>2</v>
      </c>
      <c r="I1739" s="6">
        <v>0</v>
      </c>
      <c r="J1739" s="6">
        <v>4</v>
      </c>
      <c r="K1739" s="6">
        <v>8</v>
      </c>
      <c r="L1739" s="6">
        <v>0</v>
      </c>
      <c r="M1739" s="6">
        <v>11</v>
      </c>
    </row>
    <row r="1740" spans="1:13">
      <c r="A1740" s="6" t="s">
        <v>3102</v>
      </c>
      <c r="B1740" s="3">
        <v>0</v>
      </c>
      <c r="C1740" s="6">
        <v>0</v>
      </c>
      <c r="D1740" s="6">
        <v>3</v>
      </c>
      <c r="E1740" s="6">
        <v>0</v>
      </c>
      <c r="F1740" s="6">
        <v>0</v>
      </c>
      <c r="G1740" s="6">
        <v>0</v>
      </c>
      <c r="H1740" s="6">
        <v>5</v>
      </c>
      <c r="I1740" s="6">
        <v>3</v>
      </c>
      <c r="J1740" s="6">
        <v>7</v>
      </c>
      <c r="K1740" s="6">
        <v>7</v>
      </c>
      <c r="L1740" s="6">
        <v>0</v>
      </c>
      <c r="M1740" s="6">
        <v>7</v>
      </c>
    </row>
    <row r="1741" spans="1:13">
      <c r="A1741" s="6" t="s">
        <v>3103</v>
      </c>
      <c r="B1741" s="3">
        <v>0</v>
      </c>
      <c r="C1741" s="6">
        <v>0</v>
      </c>
      <c r="D1741" s="6">
        <v>1</v>
      </c>
      <c r="E1741" s="6">
        <v>3</v>
      </c>
      <c r="F1741" s="6">
        <v>1</v>
      </c>
      <c r="G1741" s="6">
        <v>1</v>
      </c>
      <c r="H1741" s="6">
        <v>7</v>
      </c>
      <c r="I1741" s="6">
        <v>3</v>
      </c>
      <c r="J1741" s="6">
        <v>7</v>
      </c>
      <c r="K1741" s="6">
        <v>3</v>
      </c>
      <c r="L1741" s="6">
        <v>0</v>
      </c>
      <c r="M1741" s="6">
        <v>3</v>
      </c>
    </row>
    <row r="1742" spans="1:13">
      <c r="A1742" s="6" t="s">
        <v>3104</v>
      </c>
      <c r="B1742" s="3">
        <v>0</v>
      </c>
      <c r="C1742" s="6">
        <v>0</v>
      </c>
      <c r="D1742" s="6">
        <v>0</v>
      </c>
      <c r="E1742" s="6">
        <v>1</v>
      </c>
      <c r="F1742" s="6">
        <v>0</v>
      </c>
      <c r="G1742" s="6">
        <v>0</v>
      </c>
      <c r="H1742" s="6">
        <v>5</v>
      </c>
      <c r="I1742" s="6">
        <v>3</v>
      </c>
      <c r="J1742" s="6">
        <v>7</v>
      </c>
      <c r="K1742" s="6">
        <v>6</v>
      </c>
      <c r="L1742" s="6">
        <v>0</v>
      </c>
      <c r="M1742" s="6">
        <v>4</v>
      </c>
    </row>
    <row r="1743" spans="1:13">
      <c r="A1743" s="6" t="s">
        <v>3105</v>
      </c>
      <c r="B1743" s="3">
        <v>0</v>
      </c>
      <c r="C1743" s="6">
        <v>0</v>
      </c>
      <c r="D1743" s="6">
        <v>1</v>
      </c>
      <c r="E1743" s="6">
        <v>1</v>
      </c>
      <c r="F1743" s="6">
        <v>0</v>
      </c>
      <c r="G1743" s="6">
        <v>0</v>
      </c>
      <c r="H1743" s="6">
        <v>4</v>
      </c>
      <c r="I1743" s="6">
        <v>0</v>
      </c>
      <c r="J1743" s="6">
        <v>8</v>
      </c>
      <c r="K1743" s="6">
        <v>2</v>
      </c>
      <c r="L1743" s="6">
        <v>1</v>
      </c>
      <c r="M1743" s="6">
        <v>3</v>
      </c>
    </row>
    <row r="1744" spans="1:13">
      <c r="A1744" s="6" t="s">
        <v>3106</v>
      </c>
      <c r="B1744" s="3">
        <v>0</v>
      </c>
      <c r="C1744" s="6">
        <v>0</v>
      </c>
      <c r="D1744" s="6">
        <v>0</v>
      </c>
      <c r="E1744" s="6">
        <v>6</v>
      </c>
      <c r="F1744" s="6">
        <v>0</v>
      </c>
      <c r="G1744" s="6">
        <v>0</v>
      </c>
      <c r="H1744" s="6">
        <v>10</v>
      </c>
      <c r="I1744" s="6">
        <v>0</v>
      </c>
      <c r="J1744" s="6">
        <v>7</v>
      </c>
      <c r="K1744" s="6">
        <v>5</v>
      </c>
      <c r="L1744" s="6">
        <v>0</v>
      </c>
      <c r="M1744" s="6">
        <v>13</v>
      </c>
    </row>
    <row r="1745" spans="1:13">
      <c r="A1745" s="6" t="s">
        <v>3107</v>
      </c>
      <c r="B1745" s="3">
        <v>0</v>
      </c>
      <c r="C1745" s="6">
        <v>0</v>
      </c>
      <c r="D1745" s="6">
        <v>4</v>
      </c>
      <c r="E1745" s="6">
        <v>7</v>
      </c>
      <c r="F1745" s="6">
        <v>0</v>
      </c>
      <c r="G1745" s="6">
        <v>0</v>
      </c>
      <c r="H1745" s="6">
        <v>11</v>
      </c>
      <c r="I1745" s="6">
        <v>4</v>
      </c>
      <c r="J1745" s="6">
        <v>6</v>
      </c>
      <c r="K1745" s="6">
        <v>3</v>
      </c>
      <c r="L1745" s="6">
        <v>0</v>
      </c>
      <c r="M1745" s="6">
        <v>6</v>
      </c>
    </row>
    <row r="1746" spans="1:13">
      <c r="A1746" s="6" t="s">
        <v>3108</v>
      </c>
      <c r="B1746" s="3">
        <v>0</v>
      </c>
      <c r="C1746" s="6">
        <v>0</v>
      </c>
      <c r="D1746" s="6">
        <v>1</v>
      </c>
      <c r="E1746" s="6">
        <v>1</v>
      </c>
      <c r="F1746" s="6">
        <v>0</v>
      </c>
      <c r="G1746" s="6">
        <v>0</v>
      </c>
      <c r="H1746" s="6">
        <v>2</v>
      </c>
      <c r="I1746" s="6">
        <v>1</v>
      </c>
      <c r="J1746" s="6">
        <v>8</v>
      </c>
      <c r="K1746" s="6">
        <v>5</v>
      </c>
      <c r="L1746" s="6">
        <v>1</v>
      </c>
      <c r="M1746" s="6">
        <v>6</v>
      </c>
    </row>
    <row r="1747" spans="1:13">
      <c r="A1747" s="6" t="s">
        <v>3109</v>
      </c>
      <c r="B1747" s="3">
        <v>0</v>
      </c>
      <c r="C1747" s="6">
        <v>0</v>
      </c>
      <c r="D1747" s="6">
        <v>0</v>
      </c>
      <c r="E1747" s="6">
        <v>6</v>
      </c>
      <c r="F1747" s="6">
        <v>0</v>
      </c>
      <c r="G1747" s="6">
        <v>0</v>
      </c>
      <c r="H1747" s="6">
        <v>6</v>
      </c>
      <c r="I1747" s="6">
        <v>0</v>
      </c>
      <c r="J1747" s="6">
        <v>3</v>
      </c>
      <c r="K1747" s="6">
        <v>13</v>
      </c>
      <c r="L1747" s="6">
        <v>0</v>
      </c>
      <c r="M1747" s="6">
        <v>18</v>
      </c>
    </row>
    <row r="1748" spans="1:13">
      <c r="A1748" s="6" t="s">
        <v>3110</v>
      </c>
      <c r="B1748" s="3">
        <v>0</v>
      </c>
      <c r="C1748" s="6">
        <v>0</v>
      </c>
      <c r="D1748" s="6">
        <v>2</v>
      </c>
      <c r="E1748" s="6">
        <v>0</v>
      </c>
      <c r="F1748" s="6">
        <v>0</v>
      </c>
      <c r="G1748" s="6">
        <v>0</v>
      </c>
      <c r="H1748" s="6">
        <v>5</v>
      </c>
      <c r="I1748" s="6">
        <v>0</v>
      </c>
      <c r="J1748" s="6">
        <v>2</v>
      </c>
      <c r="K1748" s="6">
        <v>9</v>
      </c>
      <c r="L1748" s="6">
        <v>1</v>
      </c>
      <c r="M1748" s="6">
        <v>13</v>
      </c>
    </row>
    <row r="1749" spans="1:13">
      <c r="A1749" s="6" t="s">
        <v>3111</v>
      </c>
      <c r="B1749" s="3">
        <v>0</v>
      </c>
      <c r="C1749" s="6">
        <v>0</v>
      </c>
      <c r="D1749" s="6">
        <v>2</v>
      </c>
      <c r="E1749" s="6">
        <v>0</v>
      </c>
      <c r="F1749" s="6">
        <v>0</v>
      </c>
      <c r="G1749" s="6">
        <v>0</v>
      </c>
      <c r="H1749" s="6">
        <v>2</v>
      </c>
      <c r="I1749" s="6">
        <v>1</v>
      </c>
      <c r="J1749" s="6">
        <v>8</v>
      </c>
      <c r="K1749" s="6">
        <v>4</v>
      </c>
      <c r="L1749" s="6">
        <v>0</v>
      </c>
      <c r="M1749" s="6">
        <v>12</v>
      </c>
    </row>
    <row r="1750" spans="1:13">
      <c r="A1750" s="6" t="s">
        <v>3112</v>
      </c>
      <c r="B1750" s="3"/>
      <c r="C1750" s="6"/>
      <c r="D1750" s="6">
        <v>2</v>
      </c>
      <c r="E1750" s="6"/>
      <c r="F1750" s="6">
        <v>1</v>
      </c>
      <c r="G1750" s="6"/>
      <c r="H1750" s="6">
        <v>5</v>
      </c>
      <c r="I1750" s="6">
        <v>3</v>
      </c>
      <c r="J1750" s="6">
        <v>7</v>
      </c>
      <c r="K1750" s="6">
        <v>1</v>
      </c>
      <c r="L1750" s="6">
        <v>1</v>
      </c>
      <c r="M1750" s="6">
        <v>2</v>
      </c>
    </row>
    <row r="1751" spans="1:13">
      <c r="A1751" s="6" t="s">
        <v>3113</v>
      </c>
      <c r="B1751" s="3">
        <v>0</v>
      </c>
      <c r="C1751" s="6">
        <v>0</v>
      </c>
      <c r="D1751" s="6">
        <v>5</v>
      </c>
      <c r="E1751" s="6">
        <v>0</v>
      </c>
      <c r="F1751" s="6">
        <v>0</v>
      </c>
      <c r="G1751" s="6">
        <v>0</v>
      </c>
      <c r="H1751" s="6">
        <v>6</v>
      </c>
      <c r="I1751" s="6">
        <v>3</v>
      </c>
      <c r="J1751" s="6">
        <v>10</v>
      </c>
      <c r="K1751" s="6">
        <v>5</v>
      </c>
      <c r="L1751" s="6">
        <v>0</v>
      </c>
      <c r="M1751" s="6">
        <v>8</v>
      </c>
    </row>
    <row r="1752" spans="1:13">
      <c r="A1752" s="6" t="s">
        <v>3114</v>
      </c>
      <c r="B1752" s="3"/>
      <c r="C1752" s="6">
        <v>5</v>
      </c>
      <c r="D1752" s="6">
        <v>3</v>
      </c>
      <c r="E1752" s="6">
        <v>1</v>
      </c>
      <c r="F1752" s="6">
        <v>4</v>
      </c>
      <c r="G1752" s="6">
        <v>0</v>
      </c>
      <c r="H1752" s="6">
        <v>13</v>
      </c>
      <c r="I1752" s="6">
        <v>5</v>
      </c>
      <c r="J1752" s="6">
        <v>14</v>
      </c>
      <c r="K1752" s="6">
        <v>4</v>
      </c>
      <c r="L1752" s="6">
        <v>0</v>
      </c>
      <c r="M1752" s="6">
        <v>10</v>
      </c>
    </row>
    <row r="1753" spans="1:13">
      <c r="A1753" s="6" t="s">
        <v>3115</v>
      </c>
      <c r="B1753" s="3">
        <v>1</v>
      </c>
      <c r="C1753" s="6">
        <v>2</v>
      </c>
      <c r="D1753" s="6">
        <v>3</v>
      </c>
      <c r="E1753" s="6">
        <v>1</v>
      </c>
      <c r="F1753" s="6">
        <v>3</v>
      </c>
      <c r="G1753" s="6">
        <v>0</v>
      </c>
      <c r="H1753" s="6">
        <v>8</v>
      </c>
      <c r="I1753" s="6">
        <v>4</v>
      </c>
      <c r="J1753" s="6">
        <v>7</v>
      </c>
      <c r="K1753" s="6">
        <v>5</v>
      </c>
      <c r="L1753" s="6">
        <v>0</v>
      </c>
      <c r="M1753" s="6">
        <v>12</v>
      </c>
    </row>
    <row r="1754" spans="1:13">
      <c r="A1754" s="6" t="s">
        <v>3126</v>
      </c>
      <c r="B1754" s="3">
        <v>1</v>
      </c>
      <c r="C1754" s="6">
        <v>0</v>
      </c>
      <c r="D1754" s="6">
        <v>1</v>
      </c>
      <c r="E1754" s="6">
        <v>3</v>
      </c>
      <c r="F1754" s="6">
        <v>0</v>
      </c>
      <c r="G1754" s="6">
        <v>0</v>
      </c>
      <c r="H1754" s="6">
        <v>5</v>
      </c>
      <c r="I1754" s="6">
        <v>5</v>
      </c>
      <c r="J1754" s="6">
        <v>8</v>
      </c>
      <c r="K1754" s="6">
        <v>2</v>
      </c>
      <c r="L1754" s="6">
        <v>0</v>
      </c>
      <c r="M1754" s="6">
        <v>3</v>
      </c>
    </row>
    <row r="1755" spans="1:13">
      <c r="A1755" s="6" t="s">
        <v>3127</v>
      </c>
      <c r="B1755" s="3"/>
      <c r="C1755" s="6"/>
      <c r="D1755" s="6">
        <v>2</v>
      </c>
      <c r="E1755" s="6"/>
      <c r="F1755" s="6">
        <v>1</v>
      </c>
      <c r="G1755" s="6">
        <v>0</v>
      </c>
      <c r="H1755" s="6">
        <v>4</v>
      </c>
      <c r="I1755" s="6">
        <v>1</v>
      </c>
      <c r="J1755" s="6">
        <v>6</v>
      </c>
      <c r="K1755" s="6">
        <v>6</v>
      </c>
      <c r="L1755" s="6">
        <v>0</v>
      </c>
      <c r="M1755" s="6">
        <v>4</v>
      </c>
    </row>
    <row r="1756" spans="1:13">
      <c r="A1756" s="6" t="s">
        <v>3128</v>
      </c>
      <c r="B1756" s="3">
        <v>0</v>
      </c>
      <c r="C1756" s="6">
        <v>1</v>
      </c>
      <c r="D1756" s="6">
        <v>2</v>
      </c>
      <c r="E1756" s="6">
        <v>4</v>
      </c>
      <c r="F1756" s="6">
        <v>1</v>
      </c>
      <c r="G1756" s="6">
        <v>0</v>
      </c>
      <c r="H1756" s="6">
        <v>8</v>
      </c>
      <c r="I1756" s="6">
        <v>3</v>
      </c>
      <c r="J1756" s="6">
        <v>15</v>
      </c>
      <c r="K1756" s="6">
        <v>9</v>
      </c>
      <c r="L1756" s="6">
        <v>1</v>
      </c>
      <c r="M1756" s="6">
        <v>12</v>
      </c>
    </row>
    <row r="1757" spans="1:13">
      <c r="A1757" s="6" t="s">
        <v>3129</v>
      </c>
      <c r="B1757" s="3">
        <v>0</v>
      </c>
      <c r="C1757" s="6">
        <v>0</v>
      </c>
      <c r="D1757" s="6">
        <v>6</v>
      </c>
      <c r="E1757" s="6">
        <v>8</v>
      </c>
      <c r="F1757" s="6">
        <v>0</v>
      </c>
      <c r="G1757" s="6">
        <v>0</v>
      </c>
      <c r="H1757" s="6">
        <v>20</v>
      </c>
      <c r="I1757" s="6">
        <v>38</v>
      </c>
      <c r="J1757" s="6">
        <v>8</v>
      </c>
      <c r="K1757" s="6">
        <v>12</v>
      </c>
      <c r="L1757" s="6">
        <v>1</v>
      </c>
      <c r="M1757" s="6">
        <v>17</v>
      </c>
    </row>
    <row r="1758" spans="1:13">
      <c r="A1758" s="6" t="s">
        <v>3130</v>
      </c>
      <c r="B1758" s="3">
        <v>0</v>
      </c>
      <c r="C1758" s="6">
        <v>0</v>
      </c>
      <c r="D1758" s="6">
        <v>3</v>
      </c>
      <c r="E1758" s="6">
        <v>1</v>
      </c>
      <c r="F1758" s="6">
        <v>0</v>
      </c>
      <c r="G1758" s="6">
        <v>0</v>
      </c>
      <c r="H1758" s="6">
        <v>5</v>
      </c>
      <c r="I1758" s="6">
        <v>5</v>
      </c>
      <c r="J1758" s="6">
        <v>10</v>
      </c>
      <c r="K1758" s="6">
        <v>7</v>
      </c>
      <c r="L1758" s="6">
        <v>0</v>
      </c>
      <c r="M1758" s="6">
        <v>3</v>
      </c>
    </row>
    <row r="1759" spans="1:13">
      <c r="A1759" s="6" t="s">
        <v>3131</v>
      </c>
      <c r="B1759" s="3">
        <v>0</v>
      </c>
      <c r="C1759" s="6">
        <v>0</v>
      </c>
      <c r="D1759" s="6">
        <v>1</v>
      </c>
      <c r="E1759" s="6">
        <v>3</v>
      </c>
      <c r="F1759" s="6">
        <v>0</v>
      </c>
      <c r="G1759" s="6">
        <v>0</v>
      </c>
      <c r="H1759" s="6">
        <v>5</v>
      </c>
      <c r="I1759" s="6">
        <v>1</v>
      </c>
      <c r="J1759" s="6">
        <v>3</v>
      </c>
      <c r="K1759" s="6">
        <v>7</v>
      </c>
      <c r="L1759" s="6">
        <v>0</v>
      </c>
      <c r="M1759" s="6">
        <v>9</v>
      </c>
    </row>
    <row r="1760" spans="1:13">
      <c r="A1760" s="6" t="s">
        <v>3132</v>
      </c>
      <c r="B1760" s="3">
        <v>0</v>
      </c>
      <c r="C1760" s="6">
        <v>0</v>
      </c>
      <c r="D1760" s="6">
        <v>0</v>
      </c>
      <c r="E1760" s="6">
        <v>1</v>
      </c>
      <c r="F1760" s="6">
        <v>0</v>
      </c>
      <c r="G1760" s="6">
        <v>0</v>
      </c>
      <c r="H1760" s="6">
        <v>6</v>
      </c>
      <c r="I1760" s="6">
        <v>4</v>
      </c>
      <c r="J1760" s="6">
        <v>7</v>
      </c>
      <c r="K1760" s="6">
        <v>6</v>
      </c>
      <c r="L1760" s="6">
        <v>1</v>
      </c>
      <c r="M1760" s="6">
        <v>9</v>
      </c>
    </row>
    <row r="1761" spans="1:13">
      <c r="A1761" s="6" t="s">
        <v>3133</v>
      </c>
      <c r="B1761" s="3">
        <v>0</v>
      </c>
      <c r="C1761" s="6">
        <v>0</v>
      </c>
      <c r="D1761" s="6">
        <v>0</v>
      </c>
      <c r="E1761" s="6">
        <v>1</v>
      </c>
      <c r="F1761" s="6">
        <v>0</v>
      </c>
      <c r="G1761" s="6">
        <v>1</v>
      </c>
      <c r="H1761" s="6">
        <v>1</v>
      </c>
      <c r="I1761" s="6">
        <v>3</v>
      </c>
      <c r="J1761" s="6">
        <v>10</v>
      </c>
      <c r="K1761" s="6">
        <v>4</v>
      </c>
      <c r="L1761" s="6">
        <v>0</v>
      </c>
      <c r="M1761" s="6">
        <v>15</v>
      </c>
    </row>
    <row r="1762" spans="1:13">
      <c r="A1762" s="6" t="s">
        <v>3134</v>
      </c>
      <c r="B1762" s="3">
        <v>0</v>
      </c>
      <c r="C1762" s="6">
        <v>0</v>
      </c>
      <c r="D1762" s="6">
        <v>0</v>
      </c>
      <c r="E1762" s="6">
        <v>3</v>
      </c>
      <c r="F1762" s="6">
        <v>1</v>
      </c>
      <c r="G1762" s="6">
        <v>1</v>
      </c>
      <c r="H1762" s="6">
        <v>6</v>
      </c>
      <c r="I1762" s="6">
        <v>4</v>
      </c>
      <c r="J1762" s="6">
        <v>12</v>
      </c>
      <c r="K1762" s="6">
        <v>6</v>
      </c>
      <c r="L1762" s="6">
        <v>1</v>
      </c>
      <c r="M1762" s="6">
        <v>8</v>
      </c>
    </row>
    <row r="1763" spans="1:13">
      <c r="A1763" s="6" t="s">
        <v>3135</v>
      </c>
      <c r="B1763" s="3">
        <v>0</v>
      </c>
      <c r="C1763" s="6">
        <v>0</v>
      </c>
      <c r="D1763" s="6">
        <v>4</v>
      </c>
      <c r="E1763" s="6">
        <v>0</v>
      </c>
      <c r="F1763" s="6">
        <v>0</v>
      </c>
      <c r="G1763" s="6">
        <v>0</v>
      </c>
      <c r="H1763" s="6">
        <v>0</v>
      </c>
      <c r="I1763" s="6">
        <v>7</v>
      </c>
      <c r="J1763" s="6">
        <v>7</v>
      </c>
      <c r="K1763" s="6">
        <v>9</v>
      </c>
      <c r="L1763" s="6">
        <v>1</v>
      </c>
      <c r="M1763" s="6">
        <v>10</v>
      </c>
    </row>
    <row r="1764" spans="1:13">
      <c r="A1764" s="6" t="s">
        <v>3136</v>
      </c>
      <c r="B1764" s="3">
        <v>0</v>
      </c>
      <c r="C1764" s="6">
        <v>0</v>
      </c>
      <c r="D1764" s="6">
        <v>1</v>
      </c>
      <c r="E1764" s="6">
        <v>2</v>
      </c>
      <c r="F1764" s="6">
        <v>1</v>
      </c>
      <c r="G1764" s="6">
        <v>0</v>
      </c>
      <c r="H1764" s="6">
        <v>4</v>
      </c>
      <c r="I1764" s="6">
        <v>2</v>
      </c>
      <c r="J1764" s="6">
        <v>7</v>
      </c>
      <c r="K1764" s="6">
        <v>5</v>
      </c>
      <c r="L1764" s="6">
        <v>0</v>
      </c>
      <c r="M1764" s="6">
        <v>7</v>
      </c>
    </row>
    <row r="1765" spans="1:13">
      <c r="A1765" s="6" t="s">
        <v>3137</v>
      </c>
      <c r="B1765" s="3">
        <v>0</v>
      </c>
      <c r="C1765" s="6">
        <v>1</v>
      </c>
      <c r="D1765" s="6">
        <v>1</v>
      </c>
      <c r="E1765" s="6">
        <v>0</v>
      </c>
      <c r="F1765" s="6">
        <v>0</v>
      </c>
      <c r="G1765" s="6">
        <v>0</v>
      </c>
      <c r="H1765" s="6">
        <v>2</v>
      </c>
      <c r="I1765" s="6">
        <v>3</v>
      </c>
      <c r="J1765" s="6">
        <v>5</v>
      </c>
      <c r="K1765" s="6">
        <v>2</v>
      </c>
      <c r="L1765" s="6">
        <v>0</v>
      </c>
      <c r="M1765" s="6">
        <v>4</v>
      </c>
    </row>
    <row r="1766" spans="1:13">
      <c r="A1766" s="6" t="s">
        <v>3138</v>
      </c>
      <c r="B1766" s="3">
        <v>1</v>
      </c>
      <c r="C1766" s="6">
        <v>0</v>
      </c>
      <c r="D1766" s="6">
        <v>4</v>
      </c>
      <c r="E1766" s="6">
        <v>0</v>
      </c>
      <c r="F1766" s="6">
        <v>1</v>
      </c>
      <c r="G1766" s="6">
        <v>0</v>
      </c>
      <c r="H1766" s="6">
        <v>5</v>
      </c>
      <c r="I1766" s="6">
        <v>1</v>
      </c>
      <c r="J1766" s="6">
        <v>4</v>
      </c>
      <c r="K1766" s="6">
        <v>4</v>
      </c>
      <c r="L1766" s="6">
        <v>0</v>
      </c>
      <c r="M1766" s="6">
        <v>5</v>
      </c>
    </row>
    <row r="1767" spans="1:13">
      <c r="A1767" s="6" t="s">
        <v>3139</v>
      </c>
      <c r="B1767" s="3"/>
      <c r="C1767" s="6"/>
      <c r="D1767" s="6"/>
      <c r="E1767" s="6"/>
      <c r="F1767" s="6"/>
      <c r="G1767" s="6"/>
      <c r="H1767" s="6">
        <v>1</v>
      </c>
      <c r="I1767" s="6">
        <v>1</v>
      </c>
      <c r="J1767" s="6">
        <v>6</v>
      </c>
      <c r="K1767" s="6">
        <v>4</v>
      </c>
      <c r="L1767" s="6">
        <v>0</v>
      </c>
      <c r="M1767" s="6">
        <v>7</v>
      </c>
    </row>
    <row r="1768" spans="1:13">
      <c r="A1768" s="6" t="s">
        <v>3140</v>
      </c>
      <c r="B1768" s="3">
        <v>0</v>
      </c>
      <c r="C1768" s="6">
        <v>0</v>
      </c>
      <c r="D1768" s="6">
        <v>1</v>
      </c>
      <c r="E1768" s="6">
        <v>2</v>
      </c>
      <c r="F1768" s="6">
        <v>0</v>
      </c>
      <c r="G1768" s="6">
        <v>1</v>
      </c>
      <c r="H1768" s="6">
        <v>4</v>
      </c>
      <c r="I1768" s="6">
        <v>1</v>
      </c>
      <c r="J1768" s="6">
        <v>8</v>
      </c>
      <c r="K1768" s="6">
        <v>8</v>
      </c>
      <c r="L1768" s="6">
        <v>0</v>
      </c>
      <c r="M1768" s="6">
        <v>5</v>
      </c>
    </row>
    <row r="1769" spans="1:13">
      <c r="A1769" s="6" t="s">
        <v>3141</v>
      </c>
      <c r="B1769" s="3">
        <v>0</v>
      </c>
      <c r="C1769" s="6">
        <v>1</v>
      </c>
      <c r="D1769" s="6">
        <v>1</v>
      </c>
      <c r="E1769" s="6">
        <v>4</v>
      </c>
      <c r="F1769" s="6">
        <v>1</v>
      </c>
      <c r="G1769" s="6">
        <v>0</v>
      </c>
      <c r="H1769" s="6">
        <v>8</v>
      </c>
      <c r="I1769" s="6">
        <v>4</v>
      </c>
      <c r="J1769" s="6">
        <v>7</v>
      </c>
      <c r="K1769" s="6">
        <v>8</v>
      </c>
      <c r="L1769" s="6">
        <v>0</v>
      </c>
      <c r="M1769" s="6">
        <v>7</v>
      </c>
    </row>
    <row r="1770" spans="1:13">
      <c r="A1770" s="6" t="s">
        <v>3142</v>
      </c>
      <c r="B1770" s="3">
        <v>2</v>
      </c>
      <c r="C1770" s="6">
        <v>1</v>
      </c>
      <c r="D1770" s="6">
        <v>1</v>
      </c>
      <c r="E1770" s="6">
        <v>0</v>
      </c>
      <c r="F1770" s="6">
        <v>3</v>
      </c>
      <c r="G1770" s="6">
        <v>0</v>
      </c>
      <c r="H1770" s="6">
        <v>5</v>
      </c>
      <c r="I1770" s="6">
        <v>6</v>
      </c>
      <c r="J1770" s="6">
        <v>14</v>
      </c>
      <c r="K1770" s="6">
        <v>5</v>
      </c>
      <c r="L1770" s="6">
        <v>0</v>
      </c>
      <c r="M1770" s="6">
        <v>9</v>
      </c>
    </row>
    <row r="1771" spans="1:13">
      <c r="A1771" s="6" t="s">
        <v>3143</v>
      </c>
      <c r="B1771" s="3">
        <v>0</v>
      </c>
      <c r="C1771" s="6">
        <v>0</v>
      </c>
      <c r="D1771" s="6">
        <v>4</v>
      </c>
      <c r="E1771" s="6">
        <v>2</v>
      </c>
      <c r="F1771" s="6">
        <v>0</v>
      </c>
      <c r="G1771" s="6">
        <v>1</v>
      </c>
      <c r="H1771" s="6">
        <v>6</v>
      </c>
      <c r="I1771" s="6">
        <v>4</v>
      </c>
      <c r="J1771" s="6">
        <v>8</v>
      </c>
      <c r="K1771" s="6">
        <v>6</v>
      </c>
      <c r="L1771" s="6">
        <v>2</v>
      </c>
      <c r="M1771" s="6">
        <v>14</v>
      </c>
    </row>
    <row r="1772" spans="1:13">
      <c r="A1772" s="6" t="s">
        <v>3144</v>
      </c>
      <c r="B1772" s="3"/>
      <c r="C1772" s="6"/>
      <c r="D1772" s="6">
        <v>2</v>
      </c>
      <c r="E1772" s="6">
        <v>3</v>
      </c>
      <c r="F1772" s="6"/>
      <c r="G1772" s="6"/>
      <c r="H1772" s="6">
        <v>5</v>
      </c>
      <c r="I1772" s="6">
        <v>3</v>
      </c>
      <c r="J1772" s="6">
        <v>9</v>
      </c>
      <c r="K1772" s="6">
        <v>3</v>
      </c>
      <c r="L1772" s="6"/>
      <c r="M1772" s="6">
        <v>3</v>
      </c>
    </row>
    <row r="1773" spans="1:13">
      <c r="A1773" s="6" t="s">
        <v>3145</v>
      </c>
      <c r="B1773" s="3">
        <v>0</v>
      </c>
      <c r="C1773" s="6">
        <v>0</v>
      </c>
      <c r="D1773" s="6">
        <v>0</v>
      </c>
      <c r="E1773" s="6">
        <v>6</v>
      </c>
      <c r="F1773" s="6">
        <v>0</v>
      </c>
      <c r="G1773" s="6">
        <v>0</v>
      </c>
      <c r="H1773" s="6">
        <v>6</v>
      </c>
      <c r="I1773" s="6">
        <v>4</v>
      </c>
      <c r="J1773" s="6">
        <v>11</v>
      </c>
      <c r="K1773" s="6">
        <v>3</v>
      </c>
      <c r="L1773" s="6">
        <v>3</v>
      </c>
      <c r="M1773" s="6">
        <v>3</v>
      </c>
    </row>
    <row r="1774" spans="1:13">
      <c r="A1774" s="6" t="s">
        <v>3146</v>
      </c>
      <c r="B1774" s="3">
        <v>0</v>
      </c>
      <c r="C1774" s="6">
        <v>0</v>
      </c>
      <c r="D1774" s="6">
        <v>0</v>
      </c>
      <c r="E1774" s="6">
        <v>3</v>
      </c>
      <c r="F1774" s="6">
        <v>0</v>
      </c>
      <c r="G1774" s="6">
        <v>0</v>
      </c>
      <c r="H1774" s="6">
        <v>4</v>
      </c>
      <c r="I1774" s="6">
        <v>3</v>
      </c>
      <c r="J1774" s="6">
        <v>9</v>
      </c>
      <c r="K1774" s="6">
        <v>2</v>
      </c>
      <c r="L1774" s="6">
        <v>1</v>
      </c>
      <c r="M1774" s="6">
        <v>6</v>
      </c>
    </row>
    <row r="1775" spans="1:13">
      <c r="A1775" s="6" t="s">
        <v>3147</v>
      </c>
      <c r="B1775" s="3">
        <v>0</v>
      </c>
      <c r="C1775" s="6">
        <v>1</v>
      </c>
      <c r="D1775" s="6">
        <v>1</v>
      </c>
      <c r="E1775" s="6">
        <v>2</v>
      </c>
      <c r="F1775" s="6">
        <v>1</v>
      </c>
      <c r="G1775" s="6">
        <v>1</v>
      </c>
      <c r="H1775" s="6">
        <v>4</v>
      </c>
      <c r="I1775" s="6">
        <v>4</v>
      </c>
      <c r="J1775" s="6">
        <v>12</v>
      </c>
      <c r="K1775" s="6">
        <v>5</v>
      </c>
      <c r="L1775" s="6">
        <v>0</v>
      </c>
      <c r="M1775" s="6">
        <v>8</v>
      </c>
    </row>
    <row r="1776" spans="1:13">
      <c r="A1776" s="6" t="s">
        <v>3148</v>
      </c>
      <c r="B1776" s="3">
        <v>1</v>
      </c>
      <c r="C1776" s="6">
        <v>0</v>
      </c>
      <c r="D1776" s="6">
        <v>3</v>
      </c>
      <c r="E1776" s="6">
        <v>4</v>
      </c>
      <c r="F1776" s="6">
        <v>1</v>
      </c>
      <c r="G1776" s="6">
        <v>0</v>
      </c>
      <c r="H1776" s="6">
        <v>10</v>
      </c>
      <c r="I1776" s="6">
        <v>5</v>
      </c>
      <c r="J1776" s="6">
        <v>10</v>
      </c>
      <c r="K1776" s="6">
        <v>10</v>
      </c>
      <c r="L1776" s="6">
        <v>0</v>
      </c>
      <c r="M1776" s="6">
        <v>10</v>
      </c>
    </row>
    <row r="1777" spans="1:13">
      <c r="A1777" s="6" t="s">
        <v>3149</v>
      </c>
      <c r="B1777" s="3">
        <v>0</v>
      </c>
      <c r="C1777" s="6">
        <v>0</v>
      </c>
      <c r="D1777" s="6">
        <v>0</v>
      </c>
      <c r="E1777" s="6">
        <v>1</v>
      </c>
      <c r="F1777" s="6">
        <v>0</v>
      </c>
      <c r="G1777" s="6">
        <v>0</v>
      </c>
      <c r="H1777" s="6">
        <v>3</v>
      </c>
      <c r="I1777" s="6">
        <v>1</v>
      </c>
      <c r="J1777" s="6">
        <v>2</v>
      </c>
      <c r="K1777" s="6">
        <v>6</v>
      </c>
      <c r="L1777" s="6">
        <v>0</v>
      </c>
      <c r="M1777" s="6">
        <v>19</v>
      </c>
    </row>
    <row r="1778" spans="1:13">
      <c r="A1778" s="6" t="s">
        <v>3150</v>
      </c>
      <c r="B1778" s="3">
        <v>0</v>
      </c>
      <c r="C1778" s="6">
        <v>1</v>
      </c>
      <c r="D1778" s="6">
        <v>4</v>
      </c>
      <c r="E1778" s="6">
        <v>4</v>
      </c>
      <c r="F1778" s="6">
        <v>1</v>
      </c>
      <c r="G1778" s="6">
        <v>2</v>
      </c>
      <c r="H1778" s="6">
        <v>16</v>
      </c>
      <c r="I1778" s="6">
        <v>4</v>
      </c>
      <c r="J1778" s="6">
        <v>8</v>
      </c>
      <c r="K1778" s="6">
        <v>3</v>
      </c>
      <c r="L1778" s="6">
        <v>1</v>
      </c>
      <c r="M1778" s="6">
        <v>12</v>
      </c>
    </row>
    <row r="1779" spans="1:13">
      <c r="A1779" s="6" t="s">
        <v>3151</v>
      </c>
      <c r="B1779" s="3">
        <v>0</v>
      </c>
      <c r="C1779" s="6">
        <v>0</v>
      </c>
      <c r="D1779" s="6">
        <v>1</v>
      </c>
      <c r="E1779" s="6">
        <v>0</v>
      </c>
      <c r="F1779" s="6">
        <v>0</v>
      </c>
      <c r="G1779" s="6">
        <v>0</v>
      </c>
      <c r="H1779" s="6">
        <v>1</v>
      </c>
      <c r="I1779" s="6">
        <v>3</v>
      </c>
      <c r="J1779" s="6">
        <v>12</v>
      </c>
      <c r="K1779" s="6">
        <v>3</v>
      </c>
      <c r="L1779" s="6">
        <v>1</v>
      </c>
      <c r="M1779" s="6">
        <v>6</v>
      </c>
    </row>
    <row r="1780" spans="1:13">
      <c r="A1780" s="6" t="s">
        <v>3152</v>
      </c>
      <c r="B1780" s="3">
        <v>1</v>
      </c>
      <c r="C1780" s="6">
        <v>0</v>
      </c>
      <c r="D1780" s="6">
        <v>4</v>
      </c>
      <c r="E1780" s="6">
        <v>2</v>
      </c>
      <c r="F1780" s="6">
        <v>0</v>
      </c>
      <c r="G1780" s="6">
        <v>0</v>
      </c>
      <c r="H1780" s="6">
        <v>7</v>
      </c>
      <c r="I1780" s="6">
        <v>5</v>
      </c>
      <c r="J1780" s="6">
        <v>9</v>
      </c>
      <c r="K1780" s="6">
        <v>6</v>
      </c>
      <c r="L1780" s="6">
        <v>0</v>
      </c>
      <c r="M1780" s="6">
        <v>5</v>
      </c>
    </row>
    <row r="1781" spans="1:13">
      <c r="A1781" s="6" t="s">
        <v>3153</v>
      </c>
      <c r="B1781" s="3">
        <v>0</v>
      </c>
      <c r="C1781" s="6">
        <v>0</v>
      </c>
      <c r="D1781" s="6">
        <v>3</v>
      </c>
      <c r="E1781" s="6">
        <v>0</v>
      </c>
      <c r="F1781" s="6">
        <v>0</v>
      </c>
      <c r="G1781" s="6">
        <v>1</v>
      </c>
      <c r="H1781" s="6">
        <v>3</v>
      </c>
      <c r="I1781" s="6">
        <v>3</v>
      </c>
      <c r="J1781" s="6">
        <v>12</v>
      </c>
      <c r="K1781" s="6">
        <v>7</v>
      </c>
      <c r="L1781" s="6">
        <v>0</v>
      </c>
      <c r="M1781" s="6">
        <v>3</v>
      </c>
    </row>
    <row r="1782" spans="1:13">
      <c r="A1782" s="6" t="s">
        <v>3154</v>
      </c>
      <c r="B1782" s="3">
        <v>0</v>
      </c>
      <c r="C1782" s="6">
        <v>1</v>
      </c>
      <c r="D1782" s="6">
        <v>4</v>
      </c>
      <c r="E1782" s="6">
        <v>5</v>
      </c>
      <c r="F1782" s="6">
        <v>1</v>
      </c>
      <c r="G1782" s="6">
        <v>0</v>
      </c>
      <c r="H1782" s="6">
        <v>0</v>
      </c>
      <c r="I1782" s="6">
        <v>3</v>
      </c>
      <c r="J1782" s="6">
        <v>12</v>
      </c>
      <c r="K1782" s="6">
        <v>5</v>
      </c>
      <c r="L1782" s="6">
        <v>0</v>
      </c>
      <c r="M1782" s="6">
        <v>8</v>
      </c>
    </row>
    <row r="1783" spans="1:13">
      <c r="A1783" s="6" t="s">
        <v>3155</v>
      </c>
      <c r="B1783" s="3">
        <v>0</v>
      </c>
      <c r="C1783" s="6">
        <v>0</v>
      </c>
      <c r="D1783" s="6">
        <v>3</v>
      </c>
      <c r="E1783" s="6">
        <v>0</v>
      </c>
      <c r="F1783" s="6">
        <v>0</v>
      </c>
      <c r="G1783" s="6">
        <v>2</v>
      </c>
      <c r="H1783" s="6">
        <v>5</v>
      </c>
      <c r="I1783" s="6">
        <v>4</v>
      </c>
      <c r="J1783" s="6">
        <v>7</v>
      </c>
      <c r="K1783" s="6">
        <v>4</v>
      </c>
      <c r="L1783" s="6">
        <v>1</v>
      </c>
      <c r="M1783" s="6">
        <v>7</v>
      </c>
    </row>
    <row r="1784" spans="1:13">
      <c r="A1784" s="6" t="s">
        <v>3156</v>
      </c>
      <c r="B1784" s="3">
        <v>0</v>
      </c>
      <c r="C1784" s="6">
        <v>1</v>
      </c>
      <c r="D1784" s="6">
        <v>0</v>
      </c>
      <c r="E1784" s="6">
        <v>2</v>
      </c>
      <c r="F1784" s="6">
        <v>0</v>
      </c>
      <c r="G1784" s="6">
        <v>0</v>
      </c>
      <c r="H1784" s="6">
        <v>3</v>
      </c>
      <c r="I1784" s="6">
        <v>5</v>
      </c>
      <c r="J1784" s="6">
        <v>8</v>
      </c>
      <c r="K1784" s="6">
        <v>3</v>
      </c>
      <c r="L1784" s="6">
        <v>0</v>
      </c>
      <c r="M1784" s="6">
        <v>5</v>
      </c>
    </row>
    <row r="1785" spans="1:13">
      <c r="A1785" s="6" t="s">
        <v>3157</v>
      </c>
      <c r="B1785" s="3">
        <v>0</v>
      </c>
      <c r="C1785" s="6">
        <v>0</v>
      </c>
      <c r="D1785" s="6">
        <v>1</v>
      </c>
      <c r="E1785" s="6">
        <v>3</v>
      </c>
      <c r="F1785" s="6">
        <v>0</v>
      </c>
      <c r="G1785" s="6">
        <v>1</v>
      </c>
      <c r="H1785" s="6">
        <v>7</v>
      </c>
      <c r="I1785" s="6">
        <v>0</v>
      </c>
      <c r="J1785" s="6">
        <v>10</v>
      </c>
      <c r="K1785" s="6">
        <v>7</v>
      </c>
      <c r="L1785" s="6">
        <v>1</v>
      </c>
      <c r="M1785" s="6">
        <v>13</v>
      </c>
    </row>
    <row r="1786" spans="1:13">
      <c r="A1786" s="6" t="s">
        <v>3158</v>
      </c>
      <c r="B1786" s="3"/>
      <c r="C1786" s="6"/>
      <c r="D1786" s="6"/>
      <c r="E1786" s="6">
        <v>4</v>
      </c>
      <c r="F1786" s="6">
        <v>0</v>
      </c>
      <c r="G1786" s="6">
        <v>0</v>
      </c>
      <c r="H1786" s="6">
        <v>4</v>
      </c>
      <c r="I1786" s="6">
        <v>2</v>
      </c>
      <c r="J1786" s="6">
        <v>3</v>
      </c>
      <c r="K1786" s="6">
        <v>7</v>
      </c>
      <c r="L1786" s="6">
        <v>0</v>
      </c>
      <c r="M1786" s="6">
        <v>10</v>
      </c>
    </row>
    <row r="1787" spans="1:13">
      <c r="A1787" s="6" t="s">
        <v>3159</v>
      </c>
      <c r="B1787" s="3">
        <v>0</v>
      </c>
      <c r="C1787" s="6">
        <v>0</v>
      </c>
      <c r="D1787" s="6">
        <v>1</v>
      </c>
      <c r="E1787" s="6">
        <v>2</v>
      </c>
      <c r="F1787" s="6">
        <v>0</v>
      </c>
      <c r="G1787" s="6">
        <v>3</v>
      </c>
      <c r="H1787" s="6">
        <v>6</v>
      </c>
      <c r="I1787" s="6">
        <v>5</v>
      </c>
      <c r="J1787" s="6">
        <v>12</v>
      </c>
      <c r="K1787" s="6">
        <v>5</v>
      </c>
      <c r="L1787" s="6">
        <v>1</v>
      </c>
      <c r="M1787" s="6">
        <v>8</v>
      </c>
    </row>
    <row r="1788" spans="1:13">
      <c r="A1788" s="6" t="s">
        <v>3160</v>
      </c>
      <c r="B1788" s="3">
        <v>0</v>
      </c>
      <c r="C1788" s="6">
        <v>0</v>
      </c>
      <c r="D1788" s="6">
        <v>1</v>
      </c>
      <c r="E1788" s="6">
        <v>5</v>
      </c>
      <c r="F1788" s="6">
        <v>0</v>
      </c>
      <c r="G1788" s="6">
        <v>0</v>
      </c>
      <c r="H1788" s="6">
        <v>6</v>
      </c>
      <c r="I1788" s="6">
        <v>7</v>
      </c>
      <c r="J1788" s="6">
        <v>8</v>
      </c>
      <c r="K1788" s="6">
        <v>5</v>
      </c>
      <c r="L1788" s="6">
        <v>0</v>
      </c>
      <c r="M1788" s="6">
        <v>9</v>
      </c>
    </row>
    <row r="1789" spans="1:13">
      <c r="A1789" s="6" t="s">
        <v>3161</v>
      </c>
      <c r="B1789" s="3">
        <v>0</v>
      </c>
      <c r="C1789" s="6">
        <v>0</v>
      </c>
      <c r="D1789" s="6">
        <v>1</v>
      </c>
      <c r="E1789" s="6">
        <v>0</v>
      </c>
      <c r="F1789" s="6">
        <v>0</v>
      </c>
      <c r="G1789" s="6">
        <v>0</v>
      </c>
      <c r="H1789" s="6">
        <v>0</v>
      </c>
      <c r="I1789" s="6">
        <v>1</v>
      </c>
      <c r="J1789" s="6">
        <v>1</v>
      </c>
      <c r="K1789" s="6">
        <v>0</v>
      </c>
      <c r="L1789" s="6">
        <v>0</v>
      </c>
      <c r="M1789" s="6">
        <v>2</v>
      </c>
    </row>
    <row r="1790" spans="1:13">
      <c r="A1790" s="6" t="s">
        <v>3162</v>
      </c>
      <c r="B1790" s="3">
        <v>1</v>
      </c>
      <c r="C1790" s="6">
        <v>0</v>
      </c>
      <c r="D1790" s="6">
        <v>3</v>
      </c>
      <c r="E1790" s="6">
        <v>3</v>
      </c>
      <c r="F1790" s="6">
        <v>1</v>
      </c>
      <c r="G1790" s="6">
        <v>0</v>
      </c>
      <c r="H1790" s="6">
        <v>7</v>
      </c>
      <c r="I1790" s="6">
        <v>2</v>
      </c>
      <c r="J1790" s="6">
        <v>7</v>
      </c>
      <c r="K1790" s="6">
        <v>7</v>
      </c>
      <c r="L1790" s="6">
        <v>1</v>
      </c>
      <c r="M1790" s="6">
        <v>7</v>
      </c>
    </row>
    <row r="1791" spans="1:13">
      <c r="A1791" s="6" t="s">
        <v>3163</v>
      </c>
      <c r="B1791" s="3">
        <v>0</v>
      </c>
      <c r="C1791" s="6">
        <v>0</v>
      </c>
      <c r="D1791" s="6">
        <v>0</v>
      </c>
      <c r="E1791" s="6">
        <v>0</v>
      </c>
      <c r="F1791" s="6">
        <v>0</v>
      </c>
      <c r="G1791" s="6">
        <v>0</v>
      </c>
      <c r="H1791" s="6">
        <v>0</v>
      </c>
      <c r="I1791" s="6">
        <v>2</v>
      </c>
      <c r="J1791" s="6">
        <v>12</v>
      </c>
      <c r="K1791" s="6">
        <v>4</v>
      </c>
      <c r="L1791" s="6">
        <v>0</v>
      </c>
      <c r="M1791" s="6">
        <v>7</v>
      </c>
    </row>
    <row r="1792" spans="1:13">
      <c r="A1792" s="6" t="s">
        <v>3164</v>
      </c>
      <c r="B1792" s="3">
        <v>0</v>
      </c>
      <c r="C1792" s="6">
        <v>0</v>
      </c>
      <c r="D1792" s="6">
        <v>1</v>
      </c>
      <c r="E1792" s="6">
        <v>2</v>
      </c>
      <c r="F1792" s="6">
        <v>0</v>
      </c>
      <c r="G1792" s="6">
        <v>0</v>
      </c>
      <c r="H1792" s="6">
        <v>5</v>
      </c>
      <c r="I1792" s="6">
        <v>4</v>
      </c>
      <c r="J1792" s="6">
        <v>8</v>
      </c>
      <c r="K1792" s="6">
        <v>3</v>
      </c>
      <c r="L1792" s="6">
        <v>3</v>
      </c>
      <c r="M1792" s="6">
        <v>8</v>
      </c>
    </row>
    <row r="1793" spans="1:13">
      <c r="A1793" s="6" t="s">
        <v>3165</v>
      </c>
      <c r="B1793" s="3">
        <v>0</v>
      </c>
      <c r="C1793" s="6">
        <v>0</v>
      </c>
      <c r="D1793" s="6">
        <v>2</v>
      </c>
      <c r="E1793" s="6">
        <v>2</v>
      </c>
      <c r="F1793" s="6">
        <v>0</v>
      </c>
      <c r="G1793" s="6">
        <v>1</v>
      </c>
      <c r="H1793" s="6">
        <v>6</v>
      </c>
      <c r="I1793" s="6">
        <v>3</v>
      </c>
      <c r="J1793" s="6">
        <v>9</v>
      </c>
      <c r="K1793" s="6">
        <v>6</v>
      </c>
      <c r="L1793" s="6">
        <v>1</v>
      </c>
      <c r="M1793" s="6">
        <v>6</v>
      </c>
    </row>
    <row r="1794" spans="1:13">
      <c r="A1794" s="6" t="s">
        <v>3166</v>
      </c>
      <c r="B1794" s="3">
        <v>0</v>
      </c>
      <c r="C1794" s="6">
        <v>0</v>
      </c>
      <c r="D1794" s="6">
        <v>0</v>
      </c>
      <c r="E1794" s="6">
        <v>1</v>
      </c>
      <c r="F1794" s="6">
        <v>0</v>
      </c>
      <c r="G1794" s="6">
        <v>0</v>
      </c>
      <c r="H1794" s="6">
        <v>1</v>
      </c>
      <c r="I1794" s="6">
        <v>2</v>
      </c>
      <c r="J1794" s="6">
        <v>5</v>
      </c>
      <c r="K1794" s="6">
        <v>4</v>
      </c>
      <c r="L1794" s="6">
        <v>0</v>
      </c>
      <c r="M1794" s="6">
        <v>9</v>
      </c>
    </row>
    <row r="1795" spans="1:13">
      <c r="A1795" s="6" t="s">
        <v>3167</v>
      </c>
      <c r="B1795" s="3"/>
      <c r="C1795" s="6"/>
      <c r="D1795" s="6">
        <v>4</v>
      </c>
      <c r="E1795" s="6">
        <v>4</v>
      </c>
      <c r="F1795" s="6">
        <v>0</v>
      </c>
      <c r="G1795" s="6">
        <v>0</v>
      </c>
      <c r="H1795" s="6">
        <v>0</v>
      </c>
      <c r="I1795" s="6">
        <v>3</v>
      </c>
      <c r="J1795" s="6">
        <v>13</v>
      </c>
      <c r="K1795" s="6">
        <v>14</v>
      </c>
      <c r="L1795" s="6">
        <v>1</v>
      </c>
      <c r="M1795" s="6">
        <v>16</v>
      </c>
    </row>
    <row r="1796" spans="1:13">
      <c r="A1796" s="6" t="s">
        <v>3168</v>
      </c>
      <c r="B1796" s="3">
        <v>0</v>
      </c>
      <c r="C1796" s="6">
        <v>0</v>
      </c>
      <c r="D1796" s="6">
        <v>3</v>
      </c>
      <c r="E1796" s="6">
        <v>2</v>
      </c>
      <c r="F1796" s="6">
        <v>0</v>
      </c>
      <c r="G1796" s="6">
        <v>0</v>
      </c>
      <c r="H1796" s="6">
        <v>5</v>
      </c>
      <c r="I1796" s="6">
        <v>5</v>
      </c>
      <c r="J1796" s="6">
        <v>10</v>
      </c>
      <c r="K1796" s="6">
        <v>9</v>
      </c>
      <c r="L1796" s="6">
        <v>1</v>
      </c>
      <c r="M1796" s="6">
        <v>9</v>
      </c>
    </row>
    <row r="1797" spans="1:13">
      <c r="A1797" s="6" t="s">
        <v>3169</v>
      </c>
      <c r="B1797" s="3">
        <v>0</v>
      </c>
      <c r="C1797" s="6">
        <v>0</v>
      </c>
      <c r="D1797" s="6">
        <v>2</v>
      </c>
      <c r="E1797" s="6">
        <v>5</v>
      </c>
      <c r="F1797" s="6">
        <v>0</v>
      </c>
      <c r="G1797" s="6">
        <v>0</v>
      </c>
      <c r="H1797" s="6">
        <v>8</v>
      </c>
      <c r="I1797" s="6">
        <v>3</v>
      </c>
      <c r="J1797" s="6">
        <v>13</v>
      </c>
      <c r="K1797" s="6">
        <v>10</v>
      </c>
      <c r="L1797" s="6">
        <v>0</v>
      </c>
      <c r="M1797" s="6">
        <v>8</v>
      </c>
    </row>
    <row r="1798" spans="1:13">
      <c r="A1798" s="6" t="s">
        <v>3170</v>
      </c>
      <c r="B1798" s="3">
        <v>0</v>
      </c>
      <c r="C1798" s="6">
        <v>0</v>
      </c>
      <c r="D1798" s="6">
        <v>0</v>
      </c>
      <c r="E1798" s="6">
        <v>4</v>
      </c>
      <c r="F1798" s="6">
        <v>0</v>
      </c>
      <c r="G1798" s="6">
        <v>1</v>
      </c>
      <c r="H1798" s="6">
        <v>4</v>
      </c>
      <c r="I1798" s="6">
        <v>2</v>
      </c>
      <c r="J1798" s="6">
        <v>10</v>
      </c>
      <c r="K1798" s="6">
        <v>6</v>
      </c>
      <c r="L1798" s="6">
        <v>0</v>
      </c>
      <c r="M1798" s="6">
        <v>6</v>
      </c>
    </row>
    <row r="1799" spans="1:13">
      <c r="A1799" s="6" t="s">
        <v>3171</v>
      </c>
      <c r="B1799" s="3">
        <v>0</v>
      </c>
      <c r="C1799" s="6">
        <v>0</v>
      </c>
      <c r="D1799" s="6">
        <v>2</v>
      </c>
      <c r="E1799" s="6">
        <v>3</v>
      </c>
      <c r="F1799" s="6">
        <v>0</v>
      </c>
      <c r="G1799" s="6">
        <v>1</v>
      </c>
      <c r="H1799" s="6">
        <v>7</v>
      </c>
      <c r="I1799" s="6">
        <v>3</v>
      </c>
      <c r="J1799" s="6">
        <v>14</v>
      </c>
      <c r="K1799" s="6">
        <v>2</v>
      </c>
      <c r="L1799" s="6">
        <v>3</v>
      </c>
      <c r="M1799" s="6">
        <v>4</v>
      </c>
    </row>
    <row r="1800" spans="1:13">
      <c r="A1800" s="6" t="s">
        <v>3172</v>
      </c>
      <c r="B1800" s="3">
        <v>0</v>
      </c>
      <c r="C1800" s="6">
        <v>0</v>
      </c>
      <c r="D1800" s="6">
        <v>1</v>
      </c>
      <c r="E1800" s="6">
        <v>7</v>
      </c>
      <c r="F1800" s="6">
        <v>1</v>
      </c>
      <c r="G1800" s="6">
        <v>0</v>
      </c>
      <c r="H1800" s="6">
        <v>9</v>
      </c>
      <c r="I1800" s="6">
        <v>1</v>
      </c>
      <c r="J1800" s="6">
        <v>11</v>
      </c>
      <c r="K1800" s="6">
        <v>4</v>
      </c>
      <c r="L1800" s="6">
        <v>1</v>
      </c>
      <c r="M1800" s="6">
        <v>8</v>
      </c>
    </row>
    <row r="1801" spans="1:13">
      <c r="A1801" s="6" t="s">
        <v>3173</v>
      </c>
      <c r="B1801" s="3">
        <v>0</v>
      </c>
      <c r="C1801" s="6">
        <v>1</v>
      </c>
      <c r="D1801" s="6">
        <v>0</v>
      </c>
      <c r="E1801" s="6">
        <v>3</v>
      </c>
      <c r="F1801" s="6">
        <v>1</v>
      </c>
      <c r="G1801" s="6">
        <v>0</v>
      </c>
      <c r="H1801" s="6">
        <v>6</v>
      </c>
      <c r="I1801" s="6">
        <v>4</v>
      </c>
      <c r="J1801" s="6">
        <v>8</v>
      </c>
      <c r="K1801" s="6">
        <v>4</v>
      </c>
      <c r="L1801" s="6">
        <v>0</v>
      </c>
      <c r="M1801" s="6">
        <v>3</v>
      </c>
    </row>
    <row r="1802" spans="1:13">
      <c r="A1802" s="6" t="s">
        <v>3174</v>
      </c>
      <c r="B1802" s="3">
        <v>1</v>
      </c>
      <c r="C1802" s="6">
        <v>0</v>
      </c>
      <c r="D1802" s="6">
        <v>3</v>
      </c>
      <c r="E1802" s="6">
        <v>2</v>
      </c>
      <c r="F1802" s="6">
        <v>1</v>
      </c>
      <c r="G1802" s="6">
        <v>0</v>
      </c>
      <c r="H1802" s="6">
        <v>6</v>
      </c>
      <c r="I1802" s="6">
        <v>6</v>
      </c>
      <c r="J1802" s="6">
        <v>8</v>
      </c>
      <c r="K1802" s="6">
        <v>4</v>
      </c>
      <c r="L1802" s="6">
        <v>0</v>
      </c>
      <c r="M1802" s="6">
        <v>8</v>
      </c>
    </row>
    <row r="1803" spans="1:13">
      <c r="A1803" s="6" t="s">
        <v>3175</v>
      </c>
      <c r="B1803" s="3">
        <v>0</v>
      </c>
      <c r="C1803" s="6">
        <v>0</v>
      </c>
      <c r="D1803" s="6">
        <v>2</v>
      </c>
      <c r="E1803" s="6">
        <v>2</v>
      </c>
      <c r="F1803" s="6">
        <v>0</v>
      </c>
      <c r="G1803" s="6">
        <v>1</v>
      </c>
      <c r="H1803" s="6">
        <v>3</v>
      </c>
      <c r="I1803" s="6">
        <v>0</v>
      </c>
      <c r="J1803" s="6">
        <v>8</v>
      </c>
      <c r="K1803" s="6">
        <v>5</v>
      </c>
      <c r="L1803" s="6">
        <v>0</v>
      </c>
      <c r="M1803" s="6">
        <v>4</v>
      </c>
    </row>
    <row r="1804" spans="1:13">
      <c r="A1804" s="6" t="s">
        <v>3176</v>
      </c>
      <c r="B1804" s="3">
        <v>1</v>
      </c>
      <c r="C1804" s="6">
        <v>0</v>
      </c>
      <c r="D1804" s="6">
        <v>0</v>
      </c>
      <c r="E1804" s="6">
        <v>3</v>
      </c>
      <c r="F1804" s="6">
        <v>1</v>
      </c>
      <c r="G1804" s="6">
        <v>0</v>
      </c>
      <c r="H1804" s="6">
        <v>4</v>
      </c>
      <c r="I1804" s="6">
        <v>1</v>
      </c>
      <c r="J1804" s="6">
        <v>3</v>
      </c>
      <c r="K1804" s="6">
        <v>1</v>
      </c>
      <c r="L1804" s="6">
        <v>0</v>
      </c>
      <c r="M1804" s="6">
        <v>5</v>
      </c>
    </row>
    <row r="1805" spans="1:13">
      <c r="A1805" s="6" t="s">
        <v>3177</v>
      </c>
      <c r="B1805" s="3">
        <v>0</v>
      </c>
      <c r="C1805" s="6">
        <v>0</v>
      </c>
      <c r="D1805" s="6">
        <v>0</v>
      </c>
      <c r="E1805" s="6">
        <v>2</v>
      </c>
      <c r="F1805" s="6">
        <v>0</v>
      </c>
      <c r="G1805" s="6">
        <v>0</v>
      </c>
      <c r="H1805" s="6">
        <v>2</v>
      </c>
      <c r="I1805" s="6">
        <v>5</v>
      </c>
      <c r="J1805" s="6">
        <v>6</v>
      </c>
      <c r="K1805" s="6">
        <v>2</v>
      </c>
      <c r="L1805" s="6">
        <v>0</v>
      </c>
      <c r="M1805" s="6">
        <v>2</v>
      </c>
    </row>
    <row r="1806" spans="1:13">
      <c r="A1806" s="6" t="s">
        <v>3178</v>
      </c>
      <c r="B1806" s="3">
        <v>0</v>
      </c>
      <c r="C1806" s="6">
        <v>1</v>
      </c>
      <c r="D1806" s="6">
        <v>0</v>
      </c>
      <c r="E1806" s="6">
        <v>1</v>
      </c>
      <c r="F1806" s="6">
        <v>1</v>
      </c>
      <c r="G1806" s="6">
        <v>0</v>
      </c>
      <c r="H1806" s="6">
        <v>3</v>
      </c>
      <c r="I1806" s="6">
        <v>1</v>
      </c>
      <c r="J1806" s="6">
        <v>11</v>
      </c>
      <c r="K1806" s="6">
        <v>11</v>
      </c>
      <c r="L1806" s="6">
        <v>0</v>
      </c>
      <c r="M1806" s="6">
        <v>8</v>
      </c>
    </row>
    <row r="1807" spans="1:13">
      <c r="A1807" s="6" t="s">
        <v>3179</v>
      </c>
      <c r="B1807" s="3"/>
      <c r="C1807" s="6"/>
      <c r="D1807" s="6"/>
      <c r="E1807" s="6">
        <v>1</v>
      </c>
      <c r="F1807" s="6">
        <v>0</v>
      </c>
      <c r="G1807" s="6">
        <v>0</v>
      </c>
      <c r="H1807" s="6">
        <v>1</v>
      </c>
      <c r="I1807" s="6">
        <v>4</v>
      </c>
      <c r="J1807" s="6">
        <v>1</v>
      </c>
      <c r="K1807" s="6">
        <v>7</v>
      </c>
      <c r="L1807" s="6">
        <v>0</v>
      </c>
      <c r="M1807" s="6">
        <v>7</v>
      </c>
    </row>
    <row r="1808" spans="1:13">
      <c r="A1808" s="6" t="s">
        <v>3180</v>
      </c>
      <c r="B1808" s="3">
        <v>0</v>
      </c>
      <c r="C1808" s="6">
        <v>0</v>
      </c>
      <c r="D1808" s="6">
        <v>0</v>
      </c>
      <c r="E1808" s="6">
        <v>1</v>
      </c>
      <c r="F1808" s="6">
        <v>0</v>
      </c>
      <c r="G1808" s="6">
        <v>0</v>
      </c>
      <c r="H1808" s="6">
        <v>1</v>
      </c>
      <c r="I1808" s="6">
        <v>3</v>
      </c>
      <c r="J1808" s="6">
        <v>5</v>
      </c>
      <c r="K1808" s="6">
        <v>3</v>
      </c>
      <c r="L1808" s="6">
        <v>0</v>
      </c>
      <c r="M1808" s="6">
        <v>2</v>
      </c>
    </row>
    <row r="1809" spans="1:13">
      <c r="A1809" s="6" t="s">
        <v>3181</v>
      </c>
      <c r="B1809" s="3">
        <v>0</v>
      </c>
      <c r="C1809" s="6">
        <v>0</v>
      </c>
      <c r="D1809" s="6">
        <v>4</v>
      </c>
      <c r="E1809" s="6">
        <v>3</v>
      </c>
      <c r="F1809" s="6">
        <v>0</v>
      </c>
      <c r="G1809" s="6">
        <v>0</v>
      </c>
      <c r="H1809" s="6">
        <v>10</v>
      </c>
      <c r="I1809" s="6">
        <v>1</v>
      </c>
      <c r="J1809" s="6">
        <v>10</v>
      </c>
      <c r="K1809" s="6">
        <v>18</v>
      </c>
      <c r="L1809" s="6">
        <v>0</v>
      </c>
      <c r="M1809" s="6">
        <v>16</v>
      </c>
    </row>
    <row r="1810" spans="1:13">
      <c r="A1810" s="6" t="s">
        <v>3182</v>
      </c>
      <c r="B1810" s="3">
        <v>0</v>
      </c>
      <c r="C1810" s="6">
        <v>0</v>
      </c>
      <c r="D1810" s="6">
        <v>2</v>
      </c>
      <c r="E1810" s="6">
        <v>0</v>
      </c>
      <c r="F1810" s="6">
        <v>0</v>
      </c>
      <c r="G1810" s="6">
        <v>0</v>
      </c>
      <c r="H1810" s="6">
        <v>4</v>
      </c>
      <c r="I1810" s="6">
        <v>3</v>
      </c>
      <c r="J1810" s="6">
        <v>3</v>
      </c>
      <c r="K1810" s="6">
        <v>9</v>
      </c>
      <c r="L1810" s="6">
        <v>0</v>
      </c>
      <c r="M1810" s="6">
        <v>6</v>
      </c>
    </row>
    <row r="1811" spans="1:13">
      <c r="A1811" s="6" t="s">
        <v>3183</v>
      </c>
      <c r="B1811" s="3">
        <v>0</v>
      </c>
      <c r="C1811" s="6">
        <v>1</v>
      </c>
      <c r="D1811" s="6">
        <v>1</v>
      </c>
      <c r="E1811" s="6">
        <v>0</v>
      </c>
      <c r="F1811" s="6">
        <v>1</v>
      </c>
      <c r="G1811" s="6">
        <v>0</v>
      </c>
      <c r="H1811" s="6">
        <v>3</v>
      </c>
      <c r="I1811" s="6">
        <v>1</v>
      </c>
      <c r="J1811" s="6">
        <v>7</v>
      </c>
      <c r="K1811" s="6">
        <v>4</v>
      </c>
      <c r="L1811" s="6">
        <v>1</v>
      </c>
      <c r="M1811" s="6">
        <v>6</v>
      </c>
    </row>
    <row r="1812" spans="1:13">
      <c r="A1812" s="6" t="s">
        <v>3184</v>
      </c>
      <c r="B1812" s="3">
        <v>0</v>
      </c>
      <c r="C1812" s="6">
        <v>0</v>
      </c>
      <c r="D1812" s="6">
        <v>4</v>
      </c>
      <c r="E1812" s="6">
        <v>1</v>
      </c>
      <c r="F1812" s="6">
        <v>0</v>
      </c>
      <c r="G1812" s="6">
        <v>0</v>
      </c>
      <c r="H1812" s="6">
        <v>10</v>
      </c>
      <c r="I1812" s="6">
        <v>4</v>
      </c>
      <c r="J1812" s="6">
        <v>11</v>
      </c>
      <c r="K1812" s="6">
        <v>2</v>
      </c>
      <c r="L1812" s="6">
        <v>1</v>
      </c>
      <c r="M1812" s="6">
        <v>4</v>
      </c>
    </row>
    <row r="1813" spans="1:13">
      <c r="A1813" s="6" t="s">
        <v>3185</v>
      </c>
      <c r="B1813" s="3">
        <v>0</v>
      </c>
      <c r="C1813" s="6">
        <v>2</v>
      </c>
      <c r="D1813" s="6">
        <v>3</v>
      </c>
      <c r="E1813" s="6">
        <v>3</v>
      </c>
      <c r="F1813" s="6">
        <v>0</v>
      </c>
      <c r="G1813" s="6">
        <v>0</v>
      </c>
      <c r="H1813" s="6">
        <v>10</v>
      </c>
      <c r="I1813" s="6">
        <v>9</v>
      </c>
      <c r="J1813" s="6">
        <v>19</v>
      </c>
      <c r="K1813" s="6">
        <v>12</v>
      </c>
      <c r="L1813" s="6">
        <v>1</v>
      </c>
      <c r="M1813" s="6">
        <v>6</v>
      </c>
    </row>
    <row r="1814" spans="1:13">
      <c r="A1814" s="6" t="s">
        <v>3186</v>
      </c>
      <c r="B1814" s="3">
        <v>0</v>
      </c>
      <c r="C1814" s="6">
        <v>0</v>
      </c>
      <c r="D1814" s="6">
        <v>1</v>
      </c>
      <c r="E1814" s="6">
        <v>6</v>
      </c>
      <c r="F1814" s="6">
        <v>0</v>
      </c>
      <c r="G1814" s="6">
        <v>0</v>
      </c>
      <c r="H1814" s="6">
        <v>7</v>
      </c>
      <c r="I1814" s="6">
        <v>5</v>
      </c>
      <c r="J1814" s="6">
        <v>14</v>
      </c>
      <c r="K1814" s="6">
        <v>7</v>
      </c>
      <c r="L1814" s="6">
        <v>1</v>
      </c>
      <c r="M1814" s="6">
        <v>15</v>
      </c>
    </row>
    <row r="1815" spans="1:13">
      <c r="A1815" s="6" t="s">
        <v>3187</v>
      </c>
      <c r="B1815" s="3">
        <v>0</v>
      </c>
      <c r="C1815" s="6">
        <v>0</v>
      </c>
      <c r="D1815" s="6">
        <v>2</v>
      </c>
      <c r="E1815" s="6">
        <v>0</v>
      </c>
      <c r="F1815" s="6">
        <v>0</v>
      </c>
      <c r="G1815" s="6">
        <v>0</v>
      </c>
      <c r="H1815" s="6">
        <v>3</v>
      </c>
      <c r="I1815" s="6">
        <v>2</v>
      </c>
      <c r="J1815" s="6">
        <v>5</v>
      </c>
      <c r="K1815" s="6">
        <v>3</v>
      </c>
      <c r="L1815" s="6">
        <v>0</v>
      </c>
      <c r="M1815" s="6">
        <v>5</v>
      </c>
    </row>
    <row r="1816" spans="1:13">
      <c r="A1816" s="6" t="s">
        <v>3188</v>
      </c>
      <c r="B1816" s="3">
        <v>0</v>
      </c>
      <c r="C1816" s="6">
        <v>1</v>
      </c>
      <c r="D1816" s="6">
        <v>1</v>
      </c>
      <c r="E1816" s="6">
        <v>1</v>
      </c>
      <c r="F1816" s="6">
        <v>0</v>
      </c>
      <c r="G1816" s="6">
        <v>0</v>
      </c>
      <c r="H1816" s="6">
        <v>3</v>
      </c>
      <c r="I1816" s="6">
        <v>2</v>
      </c>
      <c r="J1816" s="6">
        <v>10</v>
      </c>
      <c r="K1816" s="6">
        <v>3</v>
      </c>
      <c r="L1816" s="6">
        <v>1</v>
      </c>
      <c r="M1816" s="6">
        <v>10</v>
      </c>
    </row>
    <row r="1817" spans="1:13">
      <c r="A1817" s="6" t="s">
        <v>3189</v>
      </c>
      <c r="B1817" s="3">
        <v>0</v>
      </c>
      <c r="C1817" s="6">
        <v>1</v>
      </c>
      <c r="D1817" s="6">
        <v>6</v>
      </c>
      <c r="E1817" s="6">
        <v>2</v>
      </c>
      <c r="F1817" s="6">
        <v>0</v>
      </c>
      <c r="G1817" s="6">
        <v>0</v>
      </c>
      <c r="H1817" s="6">
        <v>13</v>
      </c>
      <c r="I1817" s="6">
        <v>7</v>
      </c>
      <c r="J1817" s="6">
        <v>14</v>
      </c>
      <c r="K1817" s="6">
        <v>7</v>
      </c>
      <c r="L1817" s="6">
        <v>1</v>
      </c>
      <c r="M1817" s="6">
        <v>7</v>
      </c>
    </row>
    <row r="1818" spans="1:13">
      <c r="A1818" s="6" t="s">
        <v>3190</v>
      </c>
      <c r="B1818" s="3"/>
      <c r="C1818" s="6"/>
      <c r="D1818" s="6">
        <v>1</v>
      </c>
      <c r="E1818" s="6">
        <v>2</v>
      </c>
      <c r="F1818" s="6"/>
      <c r="G1818" s="6">
        <v>1</v>
      </c>
      <c r="H1818" s="6">
        <v>8</v>
      </c>
      <c r="I1818" s="6">
        <v>4</v>
      </c>
      <c r="J1818" s="6">
        <v>10</v>
      </c>
      <c r="K1818" s="6">
        <v>3</v>
      </c>
      <c r="L1818" s="6">
        <v>1</v>
      </c>
      <c r="M1818" s="6">
        <v>11</v>
      </c>
    </row>
    <row r="1819" spans="1:13">
      <c r="A1819" s="6" t="s">
        <v>3191</v>
      </c>
      <c r="B1819" s="3">
        <v>0</v>
      </c>
      <c r="C1819" s="6">
        <v>0</v>
      </c>
      <c r="D1819" s="6">
        <v>1</v>
      </c>
      <c r="E1819" s="6">
        <v>0</v>
      </c>
      <c r="F1819" s="6">
        <v>0</v>
      </c>
      <c r="G1819" s="6">
        <v>0</v>
      </c>
      <c r="H1819" s="6">
        <v>1</v>
      </c>
      <c r="I1819" s="6">
        <v>2</v>
      </c>
      <c r="J1819" s="6">
        <v>5</v>
      </c>
      <c r="K1819" s="6">
        <v>8</v>
      </c>
      <c r="L1819" s="6">
        <v>1</v>
      </c>
      <c r="M1819" s="6">
        <v>12</v>
      </c>
    </row>
    <row r="1820" spans="1:13">
      <c r="A1820" s="6" t="s">
        <v>3192</v>
      </c>
      <c r="B1820" s="3">
        <v>1</v>
      </c>
      <c r="C1820" s="6">
        <v>0</v>
      </c>
      <c r="D1820" s="6">
        <v>6</v>
      </c>
      <c r="E1820" s="6">
        <v>2</v>
      </c>
      <c r="F1820" s="6">
        <v>1</v>
      </c>
      <c r="G1820" s="6">
        <v>0</v>
      </c>
      <c r="H1820" s="6">
        <v>9</v>
      </c>
      <c r="I1820" s="6">
        <v>5</v>
      </c>
      <c r="J1820" s="6">
        <v>10</v>
      </c>
      <c r="K1820" s="6">
        <v>5</v>
      </c>
      <c r="L1820" s="6">
        <v>1</v>
      </c>
      <c r="M1820" s="6">
        <v>9</v>
      </c>
    </row>
    <row r="1821" spans="1:13">
      <c r="A1821" s="6" t="s">
        <v>3193</v>
      </c>
      <c r="B1821" s="3">
        <v>0</v>
      </c>
      <c r="C1821" s="6">
        <v>0</v>
      </c>
      <c r="D1821" s="6">
        <v>1</v>
      </c>
      <c r="E1821" s="6">
        <v>5</v>
      </c>
      <c r="F1821" s="6">
        <v>0</v>
      </c>
      <c r="G1821" s="6">
        <v>2</v>
      </c>
      <c r="H1821" s="6">
        <v>9</v>
      </c>
      <c r="I1821" s="6">
        <v>5</v>
      </c>
      <c r="J1821" s="6">
        <v>14</v>
      </c>
      <c r="K1821" s="6">
        <v>9</v>
      </c>
      <c r="L1821" s="6">
        <v>1</v>
      </c>
      <c r="M1821" s="6">
        <v>19</v>
      </c>
    </row>
    <row r="1822" spans="1:13">
      <c r="A1822" s="6" t="s">
        <v>3194</v>
      </c>
      <c r="B1822" s="3">
        <v>0</v>
      </c>
      <c r="C1822" s="6">
        <v>0</v>
      </c>
      <c r="D1822" s="6">
        <v>1</v>
      </c>
      <c r="E1822" s="6">
        <v>0</v>
      </c>
      <c r="F1822" s="6">
        <v>0</v>
      </c>
      <c r="G1822" s="6">
        <v>1</v>
      </c>
      <c r="H1822" s="6">
        <v>1</v>
      </c>
      <c r="I1822" s="6">
        <v>4</v>
      </c>
      <c r="J1822" s="6">
        <v>7</v>
      </c>
      <c r="K1822" s="6">
        <v>1</v>
      </c>
      <c r="L1822" s="6">
        <v>0</v>
      </c>
      <c r="M1822" s="6">
        <v>3</v>
      </c>
    </row>
    <row r="1823" spans="1:13">
      <c r="A1823" s="6" t="s">
        <v>3195</v>
      </c>
      <c r="B1823" s="3">
        <v>0</v>
      </c>
      <c r="C1823" s="6">
        <v>2</v>
      </c>
      <c r="D1823" s="6">
        <v>0</v>
      </c>
      <c r="E1823" s="6">
        <v>4</v>
      </c>
      <c r="F1823" s="6">
        <v>0</v>
      </c>
      <c r="G1823" s="6">
        <v>0</v>
      </c>
      <c r="H1823" s="6">
        <v>7</v>
      </c>
      <c r="I1823" s="6">
        <v>3</v>
      </c>
      <c r="J1823" s="6">
        <v>12</v>
      </c>
      <c r="K1823" s="6">
        <v>7</v>
      </c>
      <c r="L1823" s="6">
        <v>0</v>
      </c>
      <c r="M1823" s="6">
        <v>9</v>
      </c>
    </row>
    <row r="1824" spans="1:13">
      <c r="A1824" s="6" t="s">
        <v>3196</v>
      </c>
      <c r="B1824" s="3">
        <v>0</v>
      </c>
      <c r="C1824" s="6">
        <v>0</v>
      </c>
      <c r="D1824" s="6">
        <v>1</v>
      </c>
      <c r="E1824" s="6">
        <v>2</v>
      </c>
      <c r="F1824" s="6">
        <v>0</v>
      </c>
      <c r="G1824" s="6">
        <v>0</v>
      </c>
      <c r="H1824" s="6">
        <v>3</v>
      </c>
      <c r="I1824" s="6">
        <v>2</v>
      </c>
      <c r="J1824" s="6">
        <v>10</v>
      </c>
      <c r="K1824" s="6">
        <v>5</v>
      </c>
      <c r="L1824" s="6">
        <v>0</v>
      </c>
      <c r="M1824" s="6">
        <v>4</v>
      </c>
    </row>
    <row r="1825" spans="1:13">
      <c r="A1825" s="6" t="s">
        <v>3197</v>
      </c>
      <c r="B1825" s="3">
        <v>0</v>
      </c>
      <c r="C1825" s="6">
        <v>0</v>
      </c>
      <c r="D1825" s="6">
        <v>0</v>
      </c>
      <c r="E1825" s="6">
        <v>1</v>
      </c>
      <c r="F1825" s="6">
        <v>0</v>
      </c>
      <c r="G1825" s="6">
        <v>0</v>
      </c>
      <c r="H1825" s="6">
        <v>6</v>
      </c>
      <c r="I1825" s="6">
        <v>4</v>
      </c>
      <c r="J1825" s="6">
        <v>5</v>
      </c>
      <c r="K1825" s="6">
        <v>3</v>
      </c>
      <c r="L1825" s="6">
        <v>3</v>
      </c>
      <c r="M1825" s="6">
        <v>5</v>
      </c>
    </row>
    <row r="1826" spans="1:13">
      <c r="A1826" s="6" t="s">
        <v>3198</v>
      </c>
      <c r="B1826" s="3">
        <v>0</v>
      </c>
      <c r="C1826" s="6">
        <v>1</v>
      </c>
      <c r="D1826" s="6">
        <v>1</v>
      </c>
      <c r="E1826" s="6">
        <v>1</v>
      </c>
      <c r="F1826" s="6">
        <v>0</v>
      </c>
      <c r="G1826" s="6">
        <v>0</v>
      </c>
      <c r="H1826" s="6">
        <v>3</v>
      </c>
      <c r="I1826" s="6">
        <v>3</v>
      </c>
      <c r="J1826" s="6">
        <v>6</v>
      </c>
      <c r="K1826" s="6">
        <v>4</v>
      </c>
      <c r="L1826" s="6">
        <v>0</v>
      </c>
      <c r="M1826" s="6">
        <v>8</v>
      </c>
    </row>
    <row r="1827" spans="1:13">
      <c r="A1827" s="6" t="s">
        <v>3199</v>
      </c>
      <c r="B1827" s="3">
        <v>0</v>
      </c>
      <c r="C1827" s="6">
        <v>0</v>
      </c>
      <c r="D1827" s="6">
        <v>2</v>
      </c>
      <c r="E1827" s="6">
        <v>4</v>
      </c>
      <c r="F1827" s="6">
        <v>0</v>
      </c>
      <c r="G1827" s="6">
        <v>0</v>
      </c>
      <c r="H1827" s="6">
        <v>6</v>
      </c>
      <c r="I1827" s="6">
        <v>3</v>
      </c>
      <c r="J1827" s="6">
        <v>7</v>
      </c>
      <c r="K1827" s="6">
        <v>9</v>
      </c>
      <c r="L1827" s="6">
        <v>0</v>
      </c>
      <c r="M1827" s="6">
        <v>14</v>
      </c>
    </row>
    <row r="1828" spans="1:13">
      <c r="A1828" s="6" t="s">
        <v>3200</v>
      </c>
      <c r="B1828" s="3">
        <v>1</v>
      </c>
      <c r="C1828" s="6">
        <v>0</v>
      </c>
      <c r="D1828" s="6">
        <v>1</v>
      </c>
      <c r="E1828" s="6">
        <v>3</v>
      </c>
      <c r="F1828" s="6">
        <v>0</v>
      </c>
      <c r="G1828" s="6">
        <v>0</v>
      </c>
      <c r="H1828" s="6">
        <v>5</v>
      </c>
      <c r="I1828" s="6">
        <v>5</v>
      </c>
      <c r="J1828" s="6">
        <v>8</v>
      </c>
      <c r="K1828" s="6">
        <v>2</v>
      </c>
      <c r="L1828" s="6">
        <v>0</v>
      </c>
      <c r="M1828" s="6">
        <v>2</v>
      </c>
    </row>
    <row r="1829" spans="1:13">
      <c r="A1829" s="6" t="s">
        <v>3201</v>
      </c>
      <c r="B1829" s="3">
        <v>0</v>
      </c>
      <c r="C1829" s="6">
        <v>1</v>
      </c>
      <c r="D1829" s="6">
        <v>1</v>
      </c>
      <c r="E1829" s="6">
        <v>4</v>
      </c>
      <c r="F1829" s="6">
        <v>2</v>
      </c>
      <c r="G1829" s="6">
        <v>0</v>
      </c>
      <c r="H1829" s="6">
        <v>6</v>
      </c>
      <c r="I1829" s="6">
        <v>3</v>
      </c>
      <c r="J1829" s="6">
        <v>9</v>
      </c>
      <c r="K1829" s="6">
        <v>5</v>
      </c>
      <c r="L1829" s="6">
        <v>0</v>
      </c>
      <c r="M1829" s="6">
        <v>5</v>
      </c>
    </row>
    <row r="1830" spans="1:13">
      <c r="A1830" s="6" t="s">
        <v>3202</v>
      </c>
      <c r="B1830" s="3"/>
      <c r="C1830" s="6">
        <v>1</v>
      </c>
      <c r="D1830" s="6">
        <v>3</v>
      </c>
      <c r="E1830" s="6">
        <v>2</v>
      </c>
      <c r="F1830" s="6"/>
      <c r="G1830" s="6"/>
      <c r="H1830" s="6">
        <v>6</v>
      </c>
      <c r="I1830" s="6">
        <v>2</v>
      </c>
      <c r="J1830" s="6">
        <v>11</v>
      </c>
      <c r="K1830" s="6">
        <v>9</v>
      </c>
      <c r="L1830" s="6">
        <v>2</v>
      </c>
      <c r="M1830" s="6">
        <v>19</v>
      </c>
    </row>
    <row r="1831" spans="1:13">
      <c r="A1831" s="6" t="s">
        <v>3203</v>
      </c>
      <c r="B1831" s="3">
        <v>0</v>
      </c>
      <c r="C1831" s="6">
        <v>0</v>
      </c>
      <c r="D1831" s="6">
        <v>3</v>
      </c>
      <c r="E1831" s="6">
        <v>1</v>
      </c>
      <c r="F1831" s="6">
        <v>0</v>
      </c>
      <c r="G1831" s="6">
        <v>1</v>
      </c>
      <c r="H1831" s="6">
        <v>6</v>
      </c>
      <c r="I1831" s="6">
        <v>1</v>
      </c>
      <c r="J1831" s="6">
        <v>5</v>
      </c>
      <c r="K1831" s="6">
        <v>4</v>
      </c>
      <c r="L1831" s="6">
        <v>1</v>
      </c>
      <c r="M1831" s="6">
        <v>15</v>
      </c>
    </row>
    <row r="1832" spans="1:13">
      <c r="A1832" s="6" t="s">
        <v>3204</v>
      </c>
      <c r="B1832" s="3">
        <v>0</v>
      </c>
      <c r="C1832" s="6">
        <v>0</v>
      </c>
      <c r="D1832" s="6">
        <v>1</v>
      </c>
      <c r="E1832" s="6">
        <v>3</v>
      </c>
      <c r="F1832" s="6">
        <v>0</v>
      </c>
      <c r="G1832" s="6">
        <v>0</v>
      </c>
      <c r="H1832" s="6">
        <v>4</v>
      </c>
      <c r="I1832" s="6">
        <v>3</v>
      </c>
      <c r="J1832" s="6">
        <v>6</v>
      </c>
      <c r="K1832" s="6">
        <v>4</v>
      </c>
      <c r="L1832" s="6">
        <v>0</v>
      </c>
      <c r="M1832" s="6">
        <v>5</v>
      </c>
    </row>
    <row r="1833" spans="1:13">
      <c r="A1833" s="6" t="s">
        <v>3205</v>
      </c>
      <c r="B1833" s="3">
        <v>0</v>
      </c>
      <c r="C1833" s="6">
        <v>0</v>
      </c>
      <c r="D1833" s="6">
        <v>2</v>
      </c>
      <c r="E1833" s="6">
        <v>4</v>
      </c>
      <c r="F1833" s="6">
        <v>0</v>
      </c>
      <c r="G1833" s="6">
        <v>0</v>
      </c>
      <c r="H1833" s="6">
        <v>6</v>
      </c>
      <c r="I1833" s="6">
        <v>3</v>
      </c>
      <c r="J1833" s="6">
        <v>12</v>
      </c>
      <c r="K1833" s="6">
        <v>4</v>
      </c>
      <c r="L1833" s="6">
        <v>0</v>
      </c>
      <c r="M1833" s="6">
        <v>5</v>
      </c>
    </row>
    <row r="1834" spans="1:13">
      <c r="A1834" s="6" t="s">
        <v>3206</v>
      </c>
      <c r="B1834" s="3"/>
      <c r="C1834" s="6">
        <v>0</v>
      </c>
      <c r="D1834" s="6">
        <v>5</v>
      </c>
      <c r="E1834" s="6">
        <v>1</v>
      </c>
      <c r="F1834" s="6">
        <v>0</v>
      </c>
      <c r="G1834" s="6">
        <v>0</v>
      </c>
      <c r="H1834" s="6">
        <v>8</v>
      </c>
      <c r="I1834" s="6">
        <v>2</v>
      </c>
      <c r="J1834" s="6">
        <v>8</v>
      </c>
      <c r="K1834" s="6">
        <v>3</v>
      </c>
      <c r="L1834" s="6">
        <v>0</v>
      </c>
      <c r="M1834" s="6">
        <v>4</v>
      </c>
    </row>
    <row r="1835" spans="1:13">
      <c r="A1835" s="6" t="s">
        <v>3207</v>
      </c>
      <c r="B1835" s="3">
        <v>0</v>
      </c>
      <c r="C1835" s="6">
        <v>0</v>
      </c>
      <c r="D1835" s="6">
        <v>2</v>
      </c>
      <c r="E1835" s="6">
        <v>2</v>
      </c>
      <c r="F1835" s="6">
        <v>1</v>
      </c>
      <c r="G1835" s="6">
        <v>0</v>
      </c>
      <c r="H1835" s="6">
        <v>7</v>
      </c>
      <c r="I1835" s="6">
        <v>4</v>
      </c>
      <c r="J1835" s="6">
        <v>12</v>
      </c>
      <c r="K1835" s="6">
        <v>5</v>
      </c>
      <c r="L1835" s="6">
        <v>0</v>
      </c>
      <c r="M1835" s="6">
        <v>7</v>
      </c>
    </row>
    <row r="1836" spans="1:13">
      <c r="A1836" s="6" t="s">
        <v>3208</v>
      </c>
      <c r="B1836" s="3">
        <v>0</v>
      </c>
      <c r="C1836" s="6">
        <v>1</v>
      </c>
      <c r="D1836" s="6">
        <v>4</v>
      </c>
      <c r="E1836" s="6">
        <v>6</v>
      </c>
      <c r="F1836" s="6">
        <v>0</v>
      </c>
      <c r="G1836" s="6">
        <v>0</v>
      </c>
      <c r="H1836" s="6">
        <v>15</v>
      </c>
      <c r="I1836" s="6">
        <v>3</v>
      </c>
      <c r="J1836" s="6">
        <v>14</v>
      </c>
      <c r="K1836" s="6">
        <v>10</v>
      </c>
      <c r="L1836" s="6">
        <v>1</v>
      </c>
      <c r="M1836" s="6">
        <v>10</v>
      </c>
    </row>
    <row r="1837" spans="1:13">
      <c r="A1837" s="6" t="s">
        <v>3209</v>
      </c>
      <c r="B1837" s="3">
        <v>0</v>
      </c>
      <c r="C1837" s="6">
        <v>0</v>
      </c>
      <c r="D1837" s="6">
        <v>1</v>
      </c>
      <c r="E1837" s="6">
        <v>2</v>
      </c>
      <c r="F1837" s="6">
        <v>0</v>
      </c>
      <c r="G1837" s="6">
        <v>0</v>
      </c>
      <c r="H1837" s="6">
        <v>6</v>
      </c>
      <c r="I1837" s="6">
        <v>1</v>
      </c>
      <c r="J1837" s="6">
        <v>8</v>
      </c>
      <c r="K1837" s="6">
        <v>5</v>
      </c>
      <c r="L1837" s="6">
        <v>1</v>
      </c>
      <c r="M1837" s="6">
        <v>10</v>
      </c>
    </row>
    <row r="1838" spans="1:13">
      <c r="A1838" s="6" t="s">
        <v>3210</v>
      </c>
      <c r="B1838" s="3">
        <v>0</v>
      </c>
      <c r="C1838" s="6">
        <v>0</v>
      </c>
      <c r="D1838" s="6">
        <v>0</v>
      </c>
      <c r="E1838" s="6">
        <v>2</v>
      </c>
      <c r="F1838" s="6">
        <v>0</v>
      </c>
      <c r="G1838" s="6">
        <v>0</v>
      </c>
      <c r="H1838" s="6">
        <v>5</v>
      </c>
      <c r="I1838" s="6">
        <v>2</v>
      </c>
      <c r="J1838" s="6">
        <v>7</v>
      </c>
      <c r="K1838" s="6">
        <v>3</v>
      </c>
      <c r="L1838" s="6">
        <v>0</v>
      </c>
      <c r="M1838" s="6">
        <v>5</v>
      </c>
    </row>
    <row r="1839" spans="1:13">
      <c r="A1839" s="6" t="s">
        <v>3211</v>
      </c>
      <c r="B1839" s="3">
        <v>0</v>
      </c>
      <c r="C1839" s="6">
        <v>1</v>
      </c>
      <c r="D1839" s="6">
        <v>1</v>
      </c>
      <c r="E1839" s="6">
        <v>0</v>
      </c>
      <c r="F1839" s="6">
        <v>1</v>
      </c>
      <c r="G1839" s="6">
        <v>0</v>
      </c>
      <c r="H1839" s="6">
        <v>6</v>
      </c>
      <c r="I1839" s="6">
        <v>2</v>
      </c>
      <c r="J1839" s="6">
        <v>6</v>
      </c>
      <c r="K1839" s="6">
        <v>1</v>
      </c>
      <c r="L1839" s="6">
        <v>0</v>
      </c>
      <c r="M1839" s="6">
        <v>1</v>
      </c>
    </row>
    <row r="1840" spans="1:13">
      <c r="A1840" s="6" t="s">
        <v>3212</v>
      </c>
      <c r="B1840" s="3">
        <v>0</v>
      </c>
      <c r="C1840" s="6">
        <v>0</v>
      </c>
      <c r="D1840" s="6">
        <v>0</v>
      </c>
      <c r="E1840" s="6">
        <v>0</v>
      </c>
      <c r="F1840" s="6">
        <v>0</v>
      </c>
      <c r="G1840" s="6">
        <v>0</v>
      </c>
      <c r="H1840" s="6">
        <v>4</v>
      </c>
      <c r="I1840" s="6">
        <v>0</v>
      </c>
      <c r="J1840" s="6">
        <v>9</v>
      </c>
      <c r="K1840" s="6">
        <v>1</v>
      </c>
      <c r="L1840" s="6">
        <v>1</v>
      </c>
      <c r="M1840" s="6">
        <v>1</v>
      </c>
    </row>
    <row r="1841" spans="1:13">
      <c r="A1841" s="6" t="s">
        <v>3213</v>
      </c>
      <c r="B1841" s="3">
        <v>0</v>
      </c>
      <c r="C1841" s="6">
        <v>0</v>
      </c>
      <c r="D1841" s="6">
        <v>0</v>
      </c>
      <c r="E1841" s="6">
        <v>2</v>
      </c>
      <c r="F1841" s="6">
        <v>0</v>
      </c>
      <c r="G1841" s="6">
        <v>0</v>
      </c>
      <c r="H1841" s="6">
        <v>4</v>
      </c>
      <c r="I1841" s="6">
        <v>1</v>
      </c>
      <c r="J1841" s="6">
        <v>5</v>
      </c>
      <c r="K1841" s="6">
        <v>5</v>
      </c>
      <c r="L1841" s="6">
        <v>0</v>
      </c>
      <c r="M1841" s="6">
        <v>9</v>
      </c>
    </row>
    <row r="1842" spans="1:13">
      <c r="A1842" s="6" t="s">
        <v>3214</v>
      </c>
      <c r="B1842" s="3">
        <v>0</v>
      </c>
      <c r="C1842" s="6">
        <v>0</v>
      </c>
      <c r="D1842" s="6">
        <v>0</v>
      </c>
      <c r="E1842" s="6">
        <v>3</v>
      </c>
      <c r="F1842" s="6">
        <v>0</v>
      </c>
      <c r="G1842" s="6">
        <v>0</v>
      </c>
      <c r="H1842" s="6">
        <v>8</v>
      </c>
      <c r="I1842" s="6">
        <v>1</v>
      </c>
      <c r="J1842" s="6">
        <v>10</v>
      </c>
      <c r="K1842" s="6">
        <v>7</v>
      </c>
      <c r="L1842" s="6">
        <v>0</v>
      </c>
      <c r="M1842" s="6">
        <v>2</v>
      </c>
    </row>
    <row r="1843" spans="1:13">
      <c r="A1843" s="6" t="s">
        <v>3215</v>
      </c>
      <c r="B1843" s="3"/>
      <c r="C1843" s="6"/>
      <c r="D1843" s="6">
        <v>2</v>
      </c>
      <c r="E1843" s="6">
        <v>3</v>
      </c>
      <c r="F1843" s="6">
        <v>0</v>
      </c>
      <c r="G1843" s="6">
        <v>0</v>
      </c>
      <c r="H1843" s="6">
        <v>5</v>
      </c>
      <c r="I1843" s="6">
        <v>4</v>
      </c>
      <c r="J1843" s="6">
        <v>12</v>
      </c>
      <c r="K1843" s="6">
        <v>5</v>
      </c>
      <c r="L1843" s="6">
        <v>1</v>
      </c>
      <c r="M1843" s="6">
        <v>7</v>
      </c>
    </row>
    <row r="1844" spans="1:13">
      <c r="A1844" s="6" t="s">
        <v>3216</v>
      </c>
      <c r="B1844" s="3"/>
      <c r="C1844" s="6">
        <v>1</v>
      </c>
      <c r="D1844" s="6">
        <v>1</v>
      </c>
      <c r="E1844" s="6">
        <v>1</v>
      </c>
      <c r="F1844" s="6"/>
      <c r="G1844" s="6"/>
      <c r="H1844" s="6">
        <v>6</v>
      </c>
      <c r="I1844" s="6">
        <v>1</v>
      </c>
      <c r="J1844" s="6">
        <v>9</v>
      </c>
      <c r="K1844" s="6">
        <v>6</v>
      </c>
      <c r="L1844" s="6"/>
      <c r="M1844" s="6">
        <v>10</v>
      </c>
    </row>
    <row r="1845" spans="1:13">
      <c r="A1845" s="6" t="s">
        <v>3217</v>
      </c>
      <c r="B1845" s="3">
        <v>0</v>
      </c>
      <c r="C1845" s="6">
        <v>0</v>
      </c>
      <c r="D1845" s="6">
        <v>1</v>
      </c>
      <c r="E1845" s="6">
        <v>4</v>
      </c>
      <c r="F1845" s="6">
        <v>0</v>
      </c>
      <c r="G1845" s="6">
        <v>0</v>
      </c>
      <c r="H1845" s="6">
        <v>5</v>
      </c>
      <c r="I1845" s="6">
        <v>0</v>
      </c>
      <c r="J1845" s="6">
        <v>6</v>
      </c>
      <c r="K1845" s="6">
        <v>7</v>
      </c>
      <c r="L1845" s="6">
        <v>0</v>
      </c>
      <c r="M1845" s="6">
        <v>12</v>
      </c>
    </row>
    <row r="1846" spans="1:13">
      <c r="A1846" s="6" t="s">
        <v>3218</v>
      </c>
      <c r="B1846" s="3">
        <v>0</v>
      </c>
      <c r="C1846" s="6">
        <v>1</v>
      </c>
      <c r="D1846" s="6">
        <v>5</v>
      </c>
      <c r="E1846" s="6">
        <v>0</v>
      </c>
      <c r="F1846" s="6">
        <v>1</v>
      </c>
      <c r="G1846" s="6">
        <v>0</v>
      </c>
      <c r="H1846" s="6">
        <v>10</v>
      </c>
      <c r="I1846" s="6">
        <v>2</v>
      </c>
      <c r="J1846" s="6">
        <v>7</v>
      </c>
      <c r="K1846" s="6">
        <v>7</v>
      </c>
      <c r="L1846" s="6">
        <v>0</v>
      </c>
      <c r="M1846" s="6">
        <v>8</v>
      </c>
    </row>
    <row r="1847" spans="1:13">
      <c r="A1847" s="6" t="s">
        <v>3219</v>
      </c>
      <c r="B1847" s="3"/>
      <c r="C1847" s="6"/>
      <c r="D1847" s="6">
        <v>2</v>
      </c>
      <c r="E1847" s="6"/>
      <c r="F1847" s="6">
        <v>1</v>
      </c>
      <c r="G1847" s="6">
        <v>0</v>
      </c>
      <c r="H1847" s="6">
        <v>3</v>
      </c>
      <c r="I1847" s="6">
        <v>1</v>
      </c>
      <c r="J1847" s="6">
        <v>6</v>
      </c>
      <c r="K1847" s="6">
        <v>5</v>
      </c>
      <c r="L1847" s="6">
        <v>0</v>
      </c>
      <c r="M1847" s="6">
        <v>4</v>
      </c>
    </row>
    <row r="1848" spans="1:13">
      <c r="A1848" s="6" t="s">
        <v>3220</v>
      </c>
      <c r="B1848" s="3"/>
      <c r="C1848" s="6"/>
      <c r="D1848" s="6">
        <v>1</v>
      </c>
      <c r="E1848" s="6">
        <v>1</v>
      </c>
      <c r="F1848" s="6"/>
      <c r="G1848" s="6">
        <v>1</v>
      </c>
      <c r="H1848" s="6">
        <v>2</v>
      </c>
      <c r="I1848" s="6">
        <v>2</v>
      </c>
      <c r="J1848" s="6">
        <v>8</v>
      </c>
      <c r="K1848" s="6">
        <v>7</v>
      </c>
      <c r="L1848" s="6"/>
      <c r="M1848" s="6">
        <v>4</v>
      </c>
    </row>
    <row r="1849" spans="1:13">
      <c r="A1849" s="6" t="s">
        <v>3221</v>
      </c>
      <c r="B1849" s="3">
        <v>0</v>
      </c>
      <c r="C1849" s="6">
        <v>0</v>
      </c>
      <c r="D1849" s="6">
        <v>3</v>
      </c>
      <c r="E1849" s="6">
        <v>2</v>
      </c>
      <c r="F1849" s="6">
        <v>0</v>
      </c>
      <c r="G1849" s="6">
        <v>0</v>
      </c>
      <c r="H1849" s="6">
        <v>6</v>
      </c>
      <c r="I1849" s="6">
        <v>4</v>
      </c>
      <c r="J1849" s="6">
        <v>9</v>
      </c>
      <c r="K1849" s="6">
        <v>2</v>
      </c>
      <c r="L1849" s="6">
        <v>0</v>
      </c>
      <c r="M1849" s="6">
        <v>8</v>
      </c>
    </row>
    <row r="1850" spans="1:13">
      <c r="A1850" s="6" t="s">
        <v>3222</v>
      </c>
      <c r="B1850" s="3">
        <v>1</v>
      </c>
      <c r="C1850" s="6">
        <v>1</v>
      </c>
      <c r="D1850" s="6">
        <v>3</v>
      </c>
      <c r="E1850" s="6">
        <v>1</v>
      </c>
      <c r="F1850" s="6">
        <v>1</v>
      </c>
      <c r="G1850" s="6">
        <v>3</v>
      </c>
      <c r="H1850" s="6">
        <v>9</v>
      </c>
      <c r="I1850" s="6">
        <v>6</v>
      </c>
      <c r="J1850" s="6">
        <v>10</v>
      </c>
      <c r="K1850" s="6">
        <v>3</v>
      </c>
      <c r="L1850" s="6">
        <v>0</v>
      </c>
      <c r="M1850" s="6">
        <v>8</v>
      </c>
    </row>
    <row r="1851" spans="1:13">
      <c r="A1851" s="6" t="s">
        <v>3223</v>
      </c>
      <c r="B1851" s="3">
        <v>0</v>
      </c>
      <c r="C1851" s="6">
        <v>0</v>
      </c>
      <c r="D1851" s="6">
        <v>3</v>
      </c>
      <c r="E1851" s="6">
        <v>1</v>
      </c>
      <c r="F1851" s="6">
        <v>0</v>
      </c>
      <c r="G1851" s="6">
        <v>3</v>
      </c>
      <c r="H1851" s="6">
        <v>5</v>
      </c>
      <c r="I1851" s="6">
        <v>1</v>
      </c>
      <c r="J1851" s="6">
        <v>7</v>
      </c>
      <c r="K1851" s="6">
        <v>4</v>
      </c>
      <c r="L1851" s="6">
        <v>0</v>
      </c>
      <c r="M1851" s="6">
        <v>4</v>
      </c>
    </row>
    <row r="1852" spans="1:13">
      <c r="A1852" s="6" t="s">
        <v>3224</v>
      </c>
      <c r="B1852" s="3">
        <v>0</v>
      </c>
      <c r="C1852" s="6">
        <v>0</v>
      </c>
      <c r="D1852" s="6">
        <v>2</v>
      </c>
      <c r="E1852" s="6">
        <v>4</v>
      </c>
      <c r="F1852" s="6">
        <v>0</v>
      </c>
      <c r="G1852" s="6">
        <v>1</v>
      </c>
      <c r="H1852" s="6">
        <v>6</v>
      </c>
      <c r="I1852" s="6">
        <v>6</v>
      </c>
      <c r="J1852" s="6">
        <v>9</v>
      </c>
      <c r="K1852" s="6">
        <v>12</v>
      </c>
      <c r="L1852" s="6">
        <v>1</v>
      </c>
      <c r="M1852" s="6">
        <v>14</v>
      </c>
    </row>
    <row r="1853" spans="1:13">
      <c r="A1853" s="6" t="s">
        <v>3225</v>
      </c>
      <c r="B1853" s="3">
        <v>0</v>
      </c>
      <c r="C1853" s="6">
        <v>0</v>
      </c>
      <c r="D1853" s="6">
        <v>3</v>
      </c>
      <c r="E1853" s="6">
        <v>6</v>
      </c>
      <c r="F1853" s="6">
        <v>0</v>
      </c>
      <c r="G1853" s="6">
        <v>0</v>
      </c>
      <c r="H1853" s="6">
        <v>10</v>
      </c>
      <c r="I1853" s="6">
        <v>4</v>
      </c>
      <c r="J1853" s="6">
        <v>5</v>
      </c>
      <c r="K1853" s="6">
        <v>4</v>
      </c>
      <c r="L1853" s="6">
        <v>1</v>
      </c>
      <c r="M1853" s="6">
        <v>5</v>
      </c>
    </row>
    <row r="1854" spans="1:13">
      <c r="A1854" s="6" t="s">
        <v>3226</v>
      </c>
      <c r="B1854" s="3">
        <v>0</v>
      </c>
      <c r="C1854" s="6">
        <v>0</v>
      </c>
      <c r="D1854" s="6">
        <v>2</v>
      </c>
      <c r="E1854" s="6">
        <v>2</v>
      </c>
      <c r="F1854" s="6">
        <v>0</v>
      </c>
      <c r="G1854" s="6">
        <v>0</v>
      </c>
      <c r="H1854" s="6">
        <v>4</v>
      </c>
      <c r="I1854" s="6">
        <v>4</v>
      </c>
      <c r="J1854" s="6">
        <v>10</v>
      </c>
      <c r="K1854" s="6">
        <v>2</v>
      </c>
      <c r="L1854" s="6">
        <v>2</v>
      </c>
      <c r="M1854" s="6">
        <v>4</v>
      </c>
    </row>
    <row r="1855" spans="1:13">
      <c r="A1855" s="6" t="s">
        <v>3227</v>
      </c>
      <c r="B1855" s="3">
        <v>0</v>
      </c>
      <c r="C1855" s="6">
        <v>0</v>
      </c>
      <c r="D1855" s="6">
        <v>1</v>
      </c>
      <c r="E1855" s="6">
        <v>3</v>
      </c>
      <c r="F1855" s="6">
        <v>0</v>
      </c>
      <c r="G1855" s="6">
        <v>0</v>
      </c>
      <c r="H1855" s="6">
        <v>5</v>
      </c>
      <c r="I1855" s="6">
        <v>2</v>
      </c>
      <c r="J1855" s="6">
        <v>8</v>
      </c>
      <c r="K1855" s="6">
        <v>7</v>
      </c>
      <c r="L1855" s="6">
        <v>1</v>
      </c>
      <c r="M1855" s="6">
        <v>5</v>
      </c>
    </row>
    <row r="1856" spans="1:13">
      <c r="A1856" s="6" t="s">
        <v>3228</v>
      </c>
      <c r="B1856" s="3">
        <v>0</v>
      </c>
      <c r="C1856" s="6">
        <v>1</v>
      </c>
      <c r="D1856" s="6">
        <v>0</v>
      </c>
      <c r="E1856" s="6">
        <v>5</v>
      </c>
      <c r="F1856" s="6">
        <v>0</v>
      </c>
      <c r="G1856" s="6">
        <v>0</v>
      </c>
      <c r="H1856" s="6">
        <v>7</v>
      </c>
      <c r="I1856" s="6">
        <v>2</v>
      </c>
      <c r="J1856" s="6">
        <v>8</v>
      </c>
      <c r="K1856" s="6">
        <v>8</v>
      </c>
      <c r="L1856" s="6">
        <v>0</v>
      </c>
      <c r="M1856" s="6">
        <v>4</v>
      </c>
    </row>
    <row r="1857" spans="1:13">
      <c r="A1857" s="6" t="s">
        <v>3229</v>
      </c>
      <c r="B1857" s="3">
        <v>0</v>
      </c>
      <c r="C1857" s="6">
        <v>0</v>
      </c>
      <c r="D1857" s="6">
        <v>0</v>
      </c>
      <c r="E1857" s="6">
        <v>3</v>
      </c>
      <c r="F1857" s="6">
        <v>0</v>
      </c>
      <c r="G1857" s="6">
        <v>0</v>
      </c>
      <c r="H1857" s="6">
        <v>3</v>
      </c>
      <c r="I1857" s="6">
        <v>3</v>
      </c>
      <c r="J1857" s="6">
        <v>8</v>
      </c>
      <c r="K1857" s="6">
        <v>10</v>
      </c>
      <c r="L1857" s="6">
        <v>0</v>
      </c>
      <c r="M1857" s="6">
        <v>12</v>
      </c>
    </row>
    <row r="1858" spans="1:13">
      <c r="A1858" s="6" t="s">
        <v>3230</v>
      </c>
      <c r="B1858" s="3">
        <v>1</v>
      </c>
      <c r="C1858" s="6">
        <v>0</v>
      </c>
      <c r="D1858" s="6">
        <v>1</v>
      </c>
      <c r="E1858" s="6">
        <v>2</v>
      </c>
      <c r="F1858" s="6">
        <v>1</v>
      </c>
      <c r="G1858" s="6">
        <v>0</v>
      </c>
      <c r="H1858" s="6">
        <v>5</v>
      </c>
      <c r="I1858" s="6">
        <v>3</v>
      </c>
      <c r="J1858" s="6">
        <v>11</v>
      </c>
      <c r="K1858" s="6">
        <v>5</v>
      </c>
      <c r="L1858" s="6">
        <v>2</v>
      </c>
      <c r="M1858" s="6">
        <v>5</v>
      </c>
    </row>
    <row r="1859" spans="1:13">
      <c r="A1859" s="6" t="s">
        <v>3231</v>
      </c>
      <c r="B1859" s="3">
        <v>0</v>
      </c>
      <c r="C1859" s="6">
        <v>0</v>
      </c>
      <c r="D1859" s="6">
        <v>2</v>
      </c>
      <c r="E1859" s="6">
        <v>1</v>
      </c>
      <c r="F1859" s="6">
        <v>0</v>
      </c>
      <c r="G1859" s="6">
        <v>0</v>
      </c>
      <c r="H1859" s="6">
        <v>7</v>
      </c>
      <c r="I1859" s="6">
        <v>3</v>
      </c>
      <c r="J1859" s="6">
        <v>15</v>
      </c>
      <c r="K1859" s="6">
        <v>9</v>
      </c>
      <c r="L1859" s="6">
        <v>1</v>
      </c>
      <c r="M1859" s="6">
        <v>7</v>
      </c>
    </row>
    <row r="1860" spans="1:13">
      <c r="A1860" s="6" t="s">
        <v>3232</v>
      </c>
      <c r="B1860" s="3">
        <v>0</v>
      </c>
      <c r="C1860" s="6">
        <v>0</v>
      </c>
      <c r="D1860" s="6">
        <v>2</v>
      </c>
      <c r="E1860" s="6">
        <v>3</v>
      </c>
      <c r="F1860" s="6">
        <v>0</v>
      </c>
      <c r="G1860" s="6">
        <v>0</v>
      </c>
      <c r="H1860" s="6">
        <v>7</v>
      </c>
      <c r="I1860" s="6">
        <v>3</v>
      </c>
      <c r="J1860" s="6">
        <v>8</v>
      </c>
      <c r="K1860" s="6">
        <v>6</v>
      </c>
      <c r="L1860" s="6">
        <v>1</v>
      </c>
      <c r="M1860" s="6">
        <v>6</v>
      </c>
    </row>
    <row r="1861" spans="1:13">
      <c r="A1861" s="6" t="s">
        <v>3233</v>
      </c>
      <c r="B1861" s="3">
        <v>0</v>
      </c>
      <c r="C1861" s="6">
        <v>2</v>
      </c>
      <c r="D1861" s="6">
        <v>0</v>
      </c>
      <c r="E1861" s="6">
        <v>1</v>
      </c>
      <c r="F1861" s="6">
        <v>2</v>
      </c>
      <c r="G1861" s="6">
        <v>0</v>
      </c>
      <c r="H1861" s="6">
        <v>4</v>
      </c>
      <c r="I1861" s="6">
        <v>2</v>
      </c>
      <c r="J1861" s="6">
        <v>10</v>
      </c>
      <c r="K1861" s="6">
        <v>5</v>
      </c>
      <c r="L1861" s="6">
        <v>0</v>
      </c>
      <c r="M1861" s="6">
        <v>6</v>
      </c>
    </row>
    <row r="1862" spans="1:13">
      <c r="A1862" s="6" t="s">
        <v>3234</v>
      </c>
      <c r="B1862" s="3">
        <v>0</v>
      </c>
      <c r="C1862" s="6">
        <v>0</v>
      </c>
      <c r="D1862" s="6">
        <v>3</v>
      </c>
      <c r="E1862" s="6">
        <v>0</v>
      </c>
      <c r="F1862" s="6">
        <v>0</v>
      </c>
      <c r="G1862" s="6">
        <v>2</v>
      </c>
      <c r="H1862" s="6">
        <v>3</v>
      </c>
      <c r="I1862" s="6">
        <v>0</v>
      </c>
      <c r="J1862" s="6">
        <v>10</v>
      </c>
      <c r="K1862" s="6">
        <v>2</v>
      </c>
      <c r="L1862" s="6">
        <v>1</v>
      </c>
      <c r="M1862" s="6">
        <v>1</v>
      </c>
    </row>
    <row r="1863" spans="1:13">
      <c r="A1863" s="6" t="s">
        <v>3235</v>
      </c>
      <c r="B1863" s="3"/>
      <c r="C1863" s="6"/>
      <c r="D1863" s="6">
        <v>1</v>
      </c>
      <c r="E1863" s="6">
        <v>2</v>
      </c>
      <c r="F1863" s="6"/>
      <c r="G1863" s="6"/>
      <c r="H1863" s="6">
        <v>6</v>
      </c>
      <c r="I1863" s="6">
        <v>2</v>
      </c>
      <c r="J1863" s="6">
        <v>4</v>
      </c>
      <c r="K1863" s="6">
        <v>6</v>
      </c>
      <c r="L1863" s="6">
        <v>0</v>
      </c>
      <c r="M1863" s="6">
        <v>12</v>
      </c>
    </row>
    <row r="1864" spans="1:13">
      <c r="A1864" s="6" t="s">
        <v>3236</v>
      </c>
      <c r="B1864" s="3">
        <v>0</v>
      </c>
      <c r="C1864" s="6">
        <v>0</v>
      </c>
      <c r="D1864" s="6">
        <v>1</v>
      </c>
      <c r="E1864" s="6">
        <v>1</v>
      </c>
      <c r="F1864" s="6">
        <v>0</v>
      </c>
      <c r="G1864" s="6">
        <v>0</v>
      </c>
      <c r="H1864" s="6">
        <v>4</v>
      </c>
      <c r="I1864" s="6">
        <v>1</v>
      </c>
      <c r="J1864" s="6">
        <v>9</v>
      </c>
      <c r="K1864" s="6">
        <v>5</v>
      </c>
      <c r="L1864" s="6">
        <v>1</v>
      </c>
      <c r="M1864" s="6">
        <v>6</v>
      </c>
    </row>
    <row r="1865" spans="1:13">
      <c r="A1865" s="6" t="s">
        <v>3237</v>
      </c>
      <c r="B1865" s="3">
        <v>0</v>
      </c>
      <c r="C1865" s="6">
        <v>1</v>
      </c>
      <c r="D1865" s="6">
        <v>0</v>
      </c>
      <c r="E1865" s="6">
        <v>5</v>
      </c>
      <c r="F1865" s="6">
        <v>0</v>
      </c>
      <c r="G1865" s="6">
        <v>1</v>
      </c>
      <c r="H1865" s="6">
        <v>7</v>
      </c>
      <c r="I1865" s="6">
        <v>2</v>
      </c>
      <c r="J1865" s="6">
        <v>11</v>
      </c>
      <c r="K1865" s="6">
        <v>9</v>
      </c>
      <c r="L1865" s="6">
        <v>0</v>
      </c>
      <c r="M1865" s="6">
        <v>9</v>
      </c>
    </row>
    <row r="1866" spans="1:13">
      <c r="A1866" s="6" t="s">
        <v>3238</v>
      </c>
      <c r="B1866" s="3"/>
      <c r="C1866" s="6">
        <v>3</v>
      </c>
      <c r="D1866" s="6"/>
      <c r="E1866" s="6"/>
      <c r="F1866" s="6"/>
      <c r="G1866" s="6">
        <v>1</v>
      </c>
      <c r="H1866" s="6">
        <v>3</v>
      </c>
      <c r="I1866" s="6">
        <v>4</v>
      </c>
      <c r="J1866" s="6">
        <v>8</v>
      </c>
      <c r="K1866" s="6">
        <v>2</v>
      </c>
      <c r="L1866" s="6"/>
      <c r="M1866" s="6">
        <v>6</v>
      </c>
    </row>
    <row r="1867" spans="1:13">
      <c r="A1867" s="6" t="s">
        <v>3239</v>
      </c>
      <c r="B1867" s="3">
        <v>0</v>
      </c>
      <c r="C1867" s="6">
        <v>0</v>
      </c>
      <c r="D1867" s="6">
        <v>3</v>
      </c>
      <c r="E1867" s="6">
        <v>2</v>
      </c>
      <c r="F1867" s="6">
        <v>0</v>
      </c>
      <c r="G1867" s="6">
        <v>0</v>
      </c>
      <c r="H1867" s="6">
        <v>5</v>
      </c>
      <c r="I1867" s="6">
        <v>6</v>
      </c>
      <c r="J1867" s="6">
        <v>15</v>
      </c>
      <c r="K1867" s="6">
        <v>7</v>
      </c>
      <c r="L1867" s="6">
        <v>0</v>
      </c>
      <c r="M1867" s="6">
        <v>13</v>
      </c>
    </row>
    <row r="1868" spans="1:13">
      <c r="A1868" s="6" t="s">
        <v>3240</v>
      </c>
      <c r="B1868" s="3"/>
      <c r="C1868" s="6"/>
      <c r="D1868" s="6">
        <v>2</v>
      </c>
      <c r="E1868" s="6">
        <v>5</v>
      </c>
      <c r="F1868" s="6"/>
      <c r="G1868" s="6"/>
      <c r="H1868" s="6">
        <v>8</v>
      </c>
      <c r="I1868" s="6">
        <v>2</v>
      </c>
      <c r="J1868" s="6">
        <v>10</v>
      </c>
      <c r="K1868" s="6">
        <v>4</v>
      </c>
      <c r="L1868" s="6"/>
      <c r="M1868" s="6">
        <v>1</v>
      </c>
    </row>
    <row r="1869" spans="1:13">
      <c r="A1869" s="6" t="s">
        <v>3241</v>
      </c>
      <c r="B1869" s="3">
        <v>0</v>
      </c>
      <c r="C1869" s="6">
        <v>0</v>
      </c>
      <c r="D1869" s="6">
        <v>1</v>
      </c>
      <c r="E1869" s="6">
        <v>4</v>
      </c>
      <c r="F1869" s="6">
        <v>0</v>
      </c>
      <c r="G1869" s="6">
        <v>0</v>
      </c>
      <c r="H1869" s="6">
        <v>5</v>
      </c>
      <c r="I1869" s="6">
        <v>3</v>
      </c>
      <c r="J1869" s="6">
        <v>11</v>
      </c>
      <c r="K1869" s="6">
        <v>4</v>
      </c>
      <c r="L1869" s="6">
        <v>0</v>
      </c>
      <c r="M1869" s="6">
        <v>3</v>
      </c>
    </row>
    <row r="1870" spans="1:13">
      <c r="A1870" s="6" t="s">
        <v>3242</v>
      </c>
      <c r="B1870" s="3"/>
      <c r="C1870" s="6">
        <v>1</v>
      </c>
      <c r="D1870" s="6">
        <v>1</v>
      </c>
      <c r="E1870" s="6"/>
      <c r="F1870" s="6">
        <v>1</v>
      </c>
      <c r="G1870" s="6">
        <v>0</v>
      </c>
      <c r="H1870" s="6">
        <v>4</v>
      </c>
      <c r="I1870" s="6">
        <v>1</v>
      </c>
      <c r="J1870" s="6">
        <v>6</v>
      </c>
      <c r="K1870" s="6">
        <v>3</v>
      </c>
      <c r="L1870" s="6">
        <v>0</v>
      </c>
      <c r="M1870" s="6">
        <v>4</v>
      </c>
    </row>
    <row r="1871" spans="1:13">
      <c r="A1871" s="6" t="s">
        <v>3243</v>
      </c>
      <c r="B1871" s="3">
        <v>0</v>
      </c>
      <c r="C1871" s="6">
        <v>0</v>
      </c>
      <c r="D1871" s="6">
        <v>1</v>
      </c>
      <c r="E1871" s="6">
        <v>2</v>
      </c>
      <c r="F1871" s="6">
        <v>0</v>
      </c>
      <c r="G1871" s="6">
        <v>1</v>
      </c>
      <c r="H1871" s="6">
        <v>4</v>
      </c>
      <c r="I1871" s="6">
        <v>2</v>
      </c>
      <c r="J1871" s="6">
        <v>6</v>
      </c>
      <c r="K1871" s="6">
        <v>2</v>
      </c>
      <c r="L1871" s="6">
        <v>0</v>
      </c>
      <c r="M1871" s="6">
        <v>7</v>
      </c>
    </row>
    <row r="1872" spans="1:13">
      <c r="A1872" s="6" t="s">
        <v>3244</v>
      </c>
      <c r="B1872" s="3">
        <v>0</v>
      </c>
      <c r="C1872" s="6">
        <v>0</v>
      </c>
      <c r="D1872" s="6">
        <v>3</v>
      </c>
      <c r="E1872" s="6">
        <v>2</v>
      </c>
      <c r="F1872" s="6">
        <v>0</v>
      </c>
      <c r="G1872" s="6">
        <v>1</v>
      </c>
      <c r="H1872" s="6">
        <v>8</v>
      </c>
      <c r="I1872" s="6">
        <v>4</v>
      </c>
      <c r="J1872" s="6">
        <v>11</v>
      </c>
      <c r="K1872" s="6">
        <v>8</v>
      </c>
      <c r="L1872" s="6">
        <v>0</v>
      </c>
      <c r="M1872" s="6">
        <v>7</v>
      </c>
    </row>
    <row r="1873" spans="1:13">
      <c r="A1873" s="6" t="s">
        <v>3245</v>
      </c>
      <c r="B1873" s="3">
        <v>0</v>
      </c>
      <c r="C1873" s="6">
        <v>0</v>
      </c>
      <c r="D1873" s="6">
        <v>1</v>
      </c>
      <c r="E1873" s="6">
        <v>0</v>
      </c>
      <c r="F1873" s="6">
        <v>0</v>
      </c>
      <c r="G1873" s="6">
        <v>0</v>
      </c>
      <c r="H1873" s="6">
        <v>2</v>
      </c>
      <c r="I1873" s="6">
        <v>2</v>
      </c>
      <c r="J1873" s="6">
        <v>6</v>
      </c>
      <c r="K1873" s="6">
        <v>6</v>
      </c>
      <c r="L1873" s="6">
        <v>1</v>
      </c>
      <c r="M1873" s="6">
        <v>10</v>
      </c>
    </row>
    <row r="1874" spans="1:13">
      <c r="A1874" s="6" t="s">
        <v>3246</v>
      </c>
      <c r="B1874" s="3">
        <v>0</v>
      </c>
      <c r="C1874" s="6">
        <v>0</v>
      </c>
      <c r="D1874" s="6">
        <v>4</v>
      </c>
      <c r="E1874" s="6">
        <v>4</v>
      </c>
      <c r="F1874" s="6">
        <v>0</v>
      </c>
      <c r="G1874" s="6">
        <v>1</v>
      </c>
      <c r="H1874" s="6">
        <v>10</v>
      </c>
      <c r="I1874" s="6">
        <v>2</v>
      </c>
      <c r="J1874" s="6">
        <v>6</v>
      </c>
      <c r="K1874" s="6">
        <v>3</v>
      </c>
      <c r="L1874" s="6">
        <v>0</v>
      </c>
      <c r="M1874" s="6">
        <v>6</v>
      </c>
    </row>
    <row r="1875" spans="1:13">
      <c r="A1875" s="6" t="s">
        <v>3247</v>
      </c>
      <c r="B1875" s="3">
        <v>0</v>
      </c>
      <c r="C1875" s="6">
        <v>0</v>
      </c>
      <c r="D1875" s="6">
        <v>1</v>
      </c>
      <c r="E1875" s="6">
        <v>2</v>
      </c>
      <c r="F1875" s="6">
        <v>0</v>
      </c>
      <c r="G1875" s="6">
        <v>0</v>
      </c>
      <c r="H1875" s="6">
        <v>3</v>
      </c>
      <c r="I1875" s="6">
        <v>3</v>
      </c>
      <c r="J1875" s="6">
        <v>11</v>
      </c>
      <c r="K1875" s="6">
        <v>5</v>
      </c>
      <c r="L1875" s="6">
        <v>0</v>
      </c>
      <c r="M1875" s="6">
        <v>5</v>
      </c>
    </row>
    <row r="1876" spans="1:13">
      <c r="A1876" s="6" t="s">
        <v>3248</v>
      </c>
      <c r="B1876" s="3">
        <v>1</v>
      </c>
      <c r="C1876" s="6">
        <v>1</v>
      </c>
      <c r="D1876" s="6">
        <v>3</v>
      </c>
      <c r="E1876" s="6">
        <v>3</v>
      </c>
      <c r="F1876" s="6">
        <v>1</v>
      </c>
      <c r="G1876" s="6">
        <v>0</v>
      </c>
      <c r="H1876" s="6">
        <v>8</v>
      </c>
      <c r="I1876" s="6">
        <v>2</v>
      </c>
      <c r="J1876" s="6">
        <v>8</v>
      </c>
      <c r="K1876" s="6">
        <v>3</v>
      </c>
      <c r="L1876" s="6">
        <v>0</v>
      </c>
      <c r="M1876" s="6">
        <v>4</v>
      </c>
    </row>
    <row r="1877" spans="1:13">
      <c r="A1877" s="6" t="s">
        <v>3249</v>
      </c>
      <c r="B1877" s="3">
        <v>0</v>
      </c>
      <c r="C1877" s="6">
        <v>0</v>
      </c>
      <c r="D1877" s="6">
        <v>3</v>
      </c>
      <c r="E1877" s="6">
        <v>0</v>
      </c>
      <c r="F1877" s="6">
        <v>0</v>
      </c>
      <c r="G1877" s="6">
        <v>0</v>
      </c>
      <c r="H1877" s="6">
        <v>3</v>
      </c>
      <c r="I1877" s="6">
        <v>1</v>
      </c>
      <c r="J1877" s="6">
        <v>9</v>
      </c>
      <c r="K1877" s="6">
        <v>3</v>
      </c>
      <c r="L1877" s="6">
        <v>0</v>
      </c>
      <c r="M1877" s="6">
        <v>2</v>
      </c>
    </row>
    <row r="1878" spans="1:13">
      <c r="A1878" s="6" t="s">
        <v>3250</v>
      </c>
      <c r="B1878" s="3">
        <v>0</v>
      </c>
      <c r="C1878" s="6">
        <v>0</v>
      </c>
      <c r="D1878" s="6">
        <v>4</v>
      </c>
      <c r="E1878" s="6">
        <v>6</v>
      </c>
      <c r="F1878" s="6">
        <v>0</v>
      </c>
      <c r="G1878" s="6">
        <v>1</v>
      </c>
      <c r="H1878" s="6">
        <v>10</v>
      </c>
      <c r="I1878" s="6">
        <v>4</v>
      </c>
      <c r="J1878" s="6">
        <v>10</v>
      </c>
      <c r="K1878" s="6">
        <v>3</v>
      </c>
      <c r="L1878" s="6">
        <v>1</v>
      </c>
      <c r="M1878" s="6">
        <v>9</v>
      </c>
    </row>
    <row r="1879" spans="1:13">
      <c r="A1879" s="6" t="s">
        <v>3251</v>
      </c>
      <c r="B1879" s="3">
        <v>0</v>
      </c>
      <c r="C1879" s="6">
        <v>0</v>
      </c>
      <c r="D1879" s="6">
        <v>5</v>
      </c>
      <c r="E1879" s="6">
        <v>0</v>
      </c>
      <c r="F1879" s="6">
        <v>0</v>
      </c>
      <c r="G1879" s="6">
        <v>0</v>
      </c>
      <c r="H1879" s="6">
        <v>5</v>
      </c>
      <c r="I1879" s="6">
        <v>4</v>
      </c>
      <c r="J1879" s="6">
        <v>8</v>
      </c>
      <c r="K1879" s="6">
        <v>2</v>
      </c>
      <c r="L1879" s="6">
        <v>0</v>
      </c>
      <c r="M1879" s="6">
        <v>1</v>
      </c>
    </row>
    <row r="1880" spans="1:13">
      <c r="A1880" s="6" t="s">
        <v>3252</v>
      </c>
      <c r="B1880" s="3">
        <v>1</v>
      </c>
      <c r="C1880" s="6">
        <v>0</v>
      </c>
      <c r="D1880" s="6">
        <v>1</v>
      </c>
      <c r="E1880" s="6">
        <v>2</v>
      </c>
      <c r="F1880" s="6">
        <v>0</v>
      </c>
      <c r="G1880" s="6">
        <v>0</v>
      </c>
      <c r="H1880" s="6">
        <v>4</v>
      </c>
      <c r="I1880" s="6">
        <v>4</v>
      </c>
      <c r="J1880" s="6">
        <v>10</v>
      </c>
      <c r="K1880" s="6">
        <v>5</v>
      </c>
      <c r="L1880" s="6">
        <v>0</v>
      </c>
      <c r="M1880" s="6">
        <v>3</v>
      </c>
    </row>
    <row r="1881" spans="1:13">
      <c r="A1881" s="6" t="s">
        <v>3253</v>
      </c>
      <c r="B1881" s="3">
        <v>0</v>
      </c>
      <c r="C1881" s="6">
        <v>1</v>
      </c>
      <c r="D1881" s="6">
        <v>0</v>
      </c>
      <c r="E1881" s="6">
        <v>2</v>
      </c>
      <c r="F1881" s="6">
        <v>1</v>
      </c>
      <c r="G1881" s="6">
        <v>0</v>
      </c>
      <c r="H1881" s="6">
        <v>6</v>
      </c>
      <c r="I1881" s="6">
        <v>4</v>
      </c>
      <c r="J1881" s="6">
        <v>9</v>
      </c>
      <c r="K1881" s="6">
        <v>8</v>
      </c>
      <c r="L1881" s="6">
        <v>1</v>
      </c>
      <c r="M1881" s="6">
        <v>8</v>
      </c>
    </row>
    <row r="1882" spans="1:13">
      <c r="A1882" s="6" t="s">
        <v>3254</v>
      </c>
      <c r="B1882" s="3"/>
      <c r="C1882" s="6">
        <v>1</v>
      </c>
      <c r="D1882" s="6">
        <v>0</v>
      </c>
      <c r="E1882" s="6">
        <v>5</v>
      </c>
      <c r="F1882" s="6">
        <v>0</v>
      </c>
      <c r="G1882" s="6">
        <v>0</v>
      </c>
      <c r="H1882" s="6">
        <v>6</v>
      </c>
      <c r="I1882" s="6">
        <v>3</v>
      </c>
      <c r="J1882" s="6">
        <v>4</v>
      </c>
      <c r="K1882" s="6">
        <v>4</v>
      </c>
      <c r="L1882" s="6">
        <v>0</v>
      </c>
      <c r="M1882" s="6">
        <v>5</v>
      </c>
    </row>
    <row r="1883" spans="1:13">
      <c r="A1883" s="6" t="s">
        <v>3255</v>
      </c>
      <c r="B1883" s="3">
        <v>0</v>
      </c>
      <c r="C1883" s="6">
        <v>0</v>
      </c>
      <c r="D1883" s="6">
        <v>0</v>
      </c>
      <c r="E1883" s="6">
        <v>4</v>
      </c>
      <c r="F1883" s="6">
        <v>0</v>
      </c>
      <c r="G1883" s="6">
        <v>0</v>
      </c>
      <c r="H1883" s="6">
        <v>8</v>
      </c>
      <c r="I1883" s="6">
        <v>2</v>
      </c>
      <c r="J1883" s="6">
        <v>9</v>
      </c>
      <c r="K1883" s="6">
        <v>9</v>
      </c>
      <c r="L1883" s="6">
        <v>1</v>
      </c>
      <c r="M1883" s="6">
        <v>10</v>
      </c>
    </row>
    <row r="1884" spans="1:13">
      <c r="A1884" s="6" t="s">
        <v>3256</v>
      </c>
      <c r="B1884" s="3">
        <v>0</v>
      </c>
      <c r="C1884" s="6">
        <v>0</v>
      </c>
      <c r="D1884" s="6">
        <v>1</v>
      </c>
      <c r="E1884" s="6">
        <v>4</v>
      </c>
      <c r="F1884" s="6">
        <v>0</v>
      </c>
      <c r="G1884" s="6">
        <v>0</v>
      </c>
      <c r="H1884" s="6">
        <v>5</v>
      </c>
      <c r="I1884" s="6">
        <v>0</v>
      </c>
      <c r="J1884" s="6">
        <v>8</v>
      </c>
      <c r="K1884" s="6">
        <v>5</v>
      </c>
      <c r="L1884" s="6">
        <v>0</v>
      </c>
      <c r="M1884" s="6">
        <v>13</v>
      </c>
    </row>
    <row r="1885" spans="1:13">
      <c r="A1885" s="6" t="s">
        <v>3257</v>
      </c>
      <c r="B1885" s="3"/>
      <c r="C1885" s="6">
        <v>1</v>
      </c>
      <c r="D1885" s="6"/>
      <c r="E1885" s="6"/>
      <c r="F1885" s="6">
        <v>0</v>
      </c>
      <c r="G1885" s="6">
        <v>0</v>
      </c>
      <c r="H1885" s="6">
        <v>0</v>
      </c>
      <c r="I1885" s="6">
        <v>0</v>
      </c>
      <c r="J1885" s="6">
        <v>1</v>
      </c>
      <c r="K1885" s="6"/>
      <c r="L1885" s="6"/>
      <c r="M1885" s="6">
        <v>1</v>
      </c>
    </row>
    <row r="1886" spans="1:13">
      <c r="A1886" s="6" t="s">
        <v>3258</v>
      </c>
      <c r="B1886" s="3">
        <v>0</v>
      </c>
      <c r="C1886" s="6"/>
      <c r="D1886" s="6">
        <v>2</v>
      </c>
      <c r="E1886" s="6">
        <v>2</v>
      </c>
      <c r="F1886" s="6">
        <v>0</v>
      </c>
      <c r="G1886" s="6">
        <v>1</v>
      </c>
      <c r="H1886" s="6">
        <v>4</v>
      </c>
      <c r="I1886" s="6">
        <v>3</v>
      </c>
      <c r="J1886" s="6">
        <v>8</v>
      </c>
      <c r="K1886" s="6">
        <v>2</v>
      </c>
      <c r="L1886" s="6">
        <v>0</v>
      </c>
      <c r="M1886" s="6">
        <v>5</v>
      </c>
    </row>
    <row r="1887" spans="1:13">
      <c r="A1887" s="6" t="s">
        <v>3259</v>
      </c>
      <c r="B1887" s="3">
        <v>0</v>
      </c>
      <c r="C1887" s="6">
        <v>0</v>
      </c>
      <c r="D1887" s="6">
        <v>0</v>
      </c>
      <c r="E1887" s="6">
        <v>0</v>
      </c>
      <c r="F1887" s="6">
        <v>0</v>
      </c>
      <c r="G1887" s="6">
        <v>0</v>
      </c>
      <c r="H1887" s="6">
        <v>1</v>
      </c>
      <c r="I1887" s="6">
        <v>1</v>
      </c>
      <c r="J1887" s="6">
        <v>3</v>
      </c>
      <c r="K1887" s="6">
        <v>4</v>
      </c>
      <c r="L1887" s="6">
        <v>0</v>
      </c>
      <c r="M1887" s="6">
        <v>6</v>
      </c>
    </row>
    <row r="1888" spans="1:13">
      <c r="A1888" s="6" t="s">
        <v>3260</v>
      </c>
      <c r="B1888" s="3">
        <v>0</v>
      </c>
      <c r="C1888" s="6">
        <v>0</v>
      </c>
      <c r="D1888" s="6">
        <v>1</v>
      </c>
      <c r="E1888" s="6">
        <v>2</v>
      </c>
      <c r="F1888" s="6">
        <v>0</v>
      </c>
      <c r="G1888" s="6">
        <v>1</v>
      </c>
      <c r="H1888" s="6">
        <v>4</v>
      </c>
      <c r="I1888" s="6">
        <v>9</v>
      </c>
      <c r="J1888" s="6">
        <v>8</v>
      </c>
      <c r="K1888" s="6">
        <v>3</v>
      </c>
      <c r="L1888" s="6">
        <v>4</v>
      </c>
      <c r="M1888" s="6">
        <v>6</v>
      </c>
    </row>
    <row r="1889" spans="1:13">
      <c r="A1889" s="6" t="s">
        <v>3261</v>
      </c>
      <c r="B1889" s="3">
        <v>0</v>
      </c>
      <c r="C1889" s="6">
        <v>0</v>
      </c>
      <c r="D1889" s="6">
        <v>3</v>
      </c>
      <c r="E1889" s="6">
        <v>2</v>
      </c>
      <c r="F1889" s="6">
        <v>0</v>
      </c>
      <c r="G1889" s="6">
        <v>0</v>
      </c>
      <c r="H1889" s="6">
        <v>6</v>
      </c>
      <c r="I1889" s="6">
        <v>1</v>
      </c>
      <c r="J1889" s="6">
        <v>9</v>
      </c>
      <c r="K1889" s="6">
        <v>7</v>
      </c>
      <c r="L1889" s="6">
        <v>1</v>
      </c>
      <c r="M1889" s="6">
        <v>4</v>
      </c>
    </row>
    <row r="1890" spans="1:13">
      <c r="A1890" s="6" t="s">
        <v>3262</v>
      </c>
      <c r="B1890" s="3">
        <v>0</v>
      </c>
      <c r="C1890" s="6">
        <v>0</v>
      </c>
      <c r="D1890" s="6">
        <v>0</v>
      </c>
      <c r="E1890" s="6">
        <v>3</v>
      </c>
      <c r="F1890" s="6"/>
      <c r="G1890" s="6">
        <v>0</v>
      </c>
      <c r="H1890" s="6">
        <v>3</v>
      </c>
      <c r="I1890" s="6">
        <v>2</v>
      </c>
      <c r="J1890" s="6">
        <v>5</v>
      </c>
      <c r="K1890" s="6">
        <v>6</v>
      </c>
      <c r="L1890" s="6">
        <v>0</v>
      </c>
      <c r="M1890" s="6">
        <v>13</v>
      </c>
    </row>
    <row r="1891" spans="1:13">
      <c r="A1891" s="6" t="s">
        <v>3263</v>
      </c>
      <c r="B1891" s="3">
        <v>0</v>
      </c>
      <c r="C1891" s="6">
        <v>1</v>
      </c>
      <c r="D1891" s="6">
        <v>2</v>
      </c>
      <c r="E1891" s="6">
        <v>3</v>
      </c>
      <c r="F1891" s="6">
        <v>0</v>
      </c>
      <c r="G1891" s="6">
        <v>0</v>
      </c>
      <c r="H1891" s="6">
        <v>6</v>
      </c>
      <c r="I1891" s="6">
        <v>3</v>
      </c>
      <c r="J1891" s="6">
        <v>13</v>
      </c>
      <c r="K1891" s="6">
        <v>5</v>
      </c>
      <c r="L1891" s="6">
        <v>0</v>
      </c>
      <c r="M1891" s="6">
        <v>5</v>
      </c>
    </row>
    <row r="1892" spans="1:13">
      <c r="A1892" s="6" t="s">
        <v>3264</v>
      </c>
      <c r="B1892" s="3">
        <v>0</v>
      </c>
      <c r="C1892" s="6">
        <v>0</v>
      </c>
      <c r="D1892" s="6">
        <v>4</v>
      </c>
      <c r="E1892" s="6">
        <v>2</v>
      </c>
      <c r="F1892" s="6">
        <v>0</v>
      </c>
      <c r="G1892" s="6">
        <v>0</v>
      </c>
      <c r="H1892" s="6">
        <v>6</v>
      </c>
      <c r="I1892" s="6">
        <v>7</v>
      </c>
      <c r="J1892" s="6">
        <v>7</v>
      </c>
      <c r="K1892" s="6">
        <v>9</v>
      </c>
      <c r="L1892" s="6">
        <v>0</v>
      </c>
      <c r="M1892" s="6">
        <v>14</v>
      </c>
    </row>
    <row r="1893" spans="1:13">
      <c r="A1893" s="6" t="s">
        <v>3265</v>
      </c>
      <c r="B1893" s="3"/>
      <c r="C1893" s="6"/>
      <c r="D1893" s="6">
        <v>2</v>
      </c>
      <c r="E1893" s="6">
        <v>6</v>
      </c>
      <c r="F1893" s="6">
        <v>0</v>
      </c>
      <c r="G1893" s="6">
        <v>0</v>
      </c>
      <c r="H1893" s="6">
        <v>10</v>
      </c>
      <c r="I1893" s="6">
        <v>3</v>
      </c>
      <c r="J1893" s="6">
        <v>10</v>
      </c>
      <c r="K1893" s="6">
        <v>6</v>
      </c>
      <c r="L1893" s="6">
        <v>2</v>
      </c>
      <c r="M1893" s="6">
        <v>6</v>
      </c>
    </row>
    <row r="1894" spans="1:13">
      <c r="A1894" s="6" t="s">
        <v>3266</v>
      </c>
      <c r="B1894" s="3">
        <v>0</v>
      </c>
      <c r="C1894" s="6">
        <v>0</v>
      </c>
      <c r="D1894" s="6">
        <v>0</v>
      </c>
      <c r="E1894" s="6">
        <v>3</v>
      </c>
      <c r="F1894" s="6">
        <v>0</v>
      </c>
      <c r="G1894" s="6">
        <v>0</v>
      </c>
      <c r="H1894" s="6">
        <v>3</v>
      </c>
      <c r="I1894" s="6">
        <v>1</v>
      </c>
      <c r="J1894" s="6">
        <v>10</v>
      </c>
      <c r="K1894" s="6">
        <v>5</v>
      </c>
      <c r="L1894" s="6">
        <v>0</v>
      </c>
      <c r="M1894" s="6">
        <v>5</v>
      </c>
    </row>
    <row r="1895" spans="1:13">
      <c r="A1895" s="6" t="s">
        <v>3267</v>
      </c>
      <c r="B1895" s="3">
        <v>0</v>
      </c>
      <c r="C1895" s="6">
        <v>0</v>
      </c>
      <c r="D1895" s="6">
        <v>3</v>
      </c>
      <c r="E1895" s="6">
        <v>3</v>
      </c>
      <c r="F1895" s="6">
        <v>0</v>
      </c>
      <c r="G1895" s="6">
        <v>0</v>
      </c>
      <c r="H1895" s="6">
        <v>6</v>
      </c>
      <c r="I1895" s="6">
        <v>5</v>
      </c>
      <c r="J1895" s="6">
        <v>7</v>
      </c>
      <c r="K1895" s="6">
        <v>5</v>
      </c>
      <c r="L1895" s="6">
        <v>0</v>
      </c>
      <c r="M1895" s="6">
        <v>6</v>
      </c>
    </row>
    <row r="1896" spans="1:13">
      <c r="A1896" s="6" t="s">
        <v>3268</v>
      </c>
      <c r="B1896" s="3">
        <v>0</v>
      </c>
      <c r="C1896" s="6">
        <v>0</v>
      </c>
      <c r="D1896" s="6">
        <v>0</v>
      </c>
      <c r="E1896" s="6">
        <v>5</v>
      </c>
      <c r="F1896" s="6">
        <v>0</v>
      </c>
      <c r="G1896" s="6">
        <v>0</v>
      </c>
      <c r="H1896" s="6">
        <v>6</v>
      </c>
      <c r="I1896" s="6">
        <v>1</v>
      </c>
      <c r="J1896" s="6">
        <v>7</v>
      </c>
      <c r="K1896" s="6">
        <v>8</v>
      </c>
      <c r="L1896" s="6">
        <v>0</v>
      </c>
      <c r="M1896" s="6">
        <v>9</v>
      </c>
    </row>
    <row r="1897" spans="1:13">
      <c r="A1897" s="6" t="s">
        <v>3269</v>
      </c>
      <c r="B1897" s="3">
        <v>0</v>
      </c>
      <c r="C1897" s="6">
        <v>0</v>
      </c>
      <c r="D1897" s="6">
        <v>0</v>
      </c>
      <c r="E1897" s="6">
        <v>1</v>
      </c>
      <c r="F1897" s="6">
        <v>0</v>
      </c>
      <c r="G1897" s="6">
        <v>1</v>
      </c>
      <c r="H1897" s="6">
        <v>7</v>
      </c>
      <c r="I1897" s="6">
        <v>2</v>
      </c>
      <c r="J1897" s="6">
        <v>6</v>
      </c>
      <c r="K1897" s="6">
        <v>3</v>
      </c>
      <c r="L1897" s="6">
        <v>0</v>
      </c>
      <c r="M1897" s="6">
        <v>3</v>
      </c>
    </row>
    <row r="1898" spans="1:13">
      <c r="A1898" s="6" t="s">
        <v>3270</v>
      </c>
      <c r="B1898" s="3">
        <v>0</v>
      </c>
      <c r="C1898" s="6">
        <v>0</v>
      </c>
      <c r="D1898" s="6">
        <v>3</v>
      </c>
      <c r="E1898" s="6">
        <v>3</v>
      </c>
      <c r="F1898" s="6">
        <v>0</v>
      </c>
      <c r="G1898" s="6">
        <v>1</v>
      </c>
      <c r="H1898" s="6">
        <v>6</v>
      </c>
      <c r="I1898" s="6">
        <v>3</v>
      </c>
      <c r="J1898" s="6">
        <v>8</v>
      </c>
      <c r="K1898" s="6">
        <v>5</v>
      </c>
      <c r="L1898" s="6">
        <v>0</v>
      </c>
      <c r="M1898" s="6">
        <v>8</v>
      </c>
    </row>
    <row r="1899" spans="1:13">
      <c r="A1899" s="6" t="s">
        <v>3271</v>
      </c>
      <c r="B1899" s="3">
        <v>0</v>
      </c>
      <c r="C1899" s="6">
        <v>0</v>
      </c>
      <c r="D1899" s="6">
        <v>2</v>
      </c>
      <c r="E1899" s="6">
        <v>0</v>
      </c>
      <c r="F1899" s="6">
        <v>0</v>
      </c>
      <c r="G1899" s="6">
        <v>0</v>
      </c>
      <c r="H1899" s="6">
        <v>2</v>
      </c>
      <c r="I1899" s="6">
        <v>0</v>
      </c>
      <c r="J1899" s="6">
        <v>5</v>
      </c>
      <c r="K1899" s="6">
        <v>2</v>
      </c>
      <c r="L1899" s="6">
        <v>3</v>
      </c>
      <c r="M1899" s="6">
        <v>4</v>
      </c>
    </row>
    <row r="1900" spans="1:13">
      <c r="A1900" s="6" t="s">
        <v>3272</v>
      </c>
      <c r="B1900" s="3">
        <v>1</v>
      </c>
      <c r="C1900" s="6">
        <v>0</v>
      </c>
      <c r="D1900" s="6">
        <v>0</v>
      </c>
      <c r="E1900" s="6">
        <v>2</v>
      </c>
      <c r="F1900" s="6">
        <v>0</v>
      </c>
      <c r="G1900" s="6">
        <v>0</v>
      </c>
      <c r="H1900" s="6">
        <v>3</v>
      </c>
      <c r="I1900" s="6">
        <v>2</v>
      </c>
      <c r="J1900" s="6">
        <v>6</v>
      </c>
      <c r="K1900" s="6">
        <v>3</v>
      </c>
      <c r="L1900" s="6">
        <v>0</v>
      </c>
      <c r="M1900" s="6">
        <v>5</v>
      </c>
    </row>
    <row r="1901" spans="1:13">
      <c r="A1901" s="6" t="s">
        <v>3273</v>
      </c>
      <c r="B1901" s="3">
        <v>0</v>
      </c>
      <c r="C1901" s="6">
        <v>0</v>
      </c>
      <c r="D1901" s="6">
        <v>0</v>
      </c>
      <c r="E1901" s="6">
        <v>3</v>
      </c>
      <c r="F1901" s="6">
        <v>0</v>
      </c>
      <c r="G1901" s="6">
        <v>0</v>
      </c>
      <c r="H1901" s="6">
        <v>5</v>
      </c>
      <c r="I1901" s="6">
        <v>4</v>
      </c>
      <c r="J1901" s="6">
        <v>5</v>
      </c>
      <c r="K1901" s="6">
        <v>2</v>
      </c>
      <c r="L1901" s="6">
        <v>0</v>
      </c>
      <c r="M1901" s="6">
        <v>3</v>
      </c>
    </row>
    <row r="1902" spans="1:13">
      <c r="A1902" s="6" t="s">
        <v>3274</v>
      </c>
      <c r="B1902" s="3">
        <v>0</v>
      </c>
      <c r="C1902" s="6">
        <v>0</v>
      </c>
      <c r="D1902" s="6">
        <v>1</v>
      </c>
      <c r="E1902" s="6">
        <v>1</v>
      </c>
      <c r="F1902" s="6">
        <v>0</v>
      </c>
      <c r="G1902" s="6">
        <v>1</v>
      </c>
      <c r="H1902" s="6">
        <v>3</v>
      </c>
      <c r="I1902" s="6">
        <v>1</v>
      </c>
      <c r="J1902" s="6">
        <v>9</v>
      </c>
      <c r="K1902" s="6">
        <v>7</v>
      </c>
      <c r="L1902" s="6">
        <v>0</v>
      </c>
      <c r="M1902" s="6">
        <v>7</v>
      </c>
    </row>
    <row r="1903" spans="1:13">
      <c r="A1903" s="6" t="s">
        <v>3275</v>
      </c>
      <c r="B1903" s="3"/>
      <c r="C1903" s="6"/>
      <c r="D1903" s="6">
        <v>2</v>
      </c>
      <c r="E1903" s="6">
        <v>1</v>
      </c>
      <c r="F1903" s="6">
        <v>0</v>
      </c>
      <c r="G1903" s="6">
        <v>0</v>
      </c>
      <c r="H1903" s="6">
        <v>3</v>
      </c>
      <c r="I1903" s="6">
        <v>7</v>
      </c>
      <c r="J1903" s="6">
        <v>8</v>
      </c>
      <c r="K1903" s="6">
        <v>6</v>
      </c>
      <c r="L1903" s="6">
        <v>0</v>
      </c>
      <c r="M1903" s="6">
        <v>3</v>
      </c>
    </row>
    <row r="1904" spans="1:13">
      <c r="A1904" s="6" t="s">
        <v>3276</v>
      </c>
      <c r="B1904" s="3"/>
      <c r="C1904" s="6"/>
      <c r="D1904" s="6"/>
      <c r="E1904" s="6">
        <v>1</v>
      </c>
      <c r="F1904" s="6"/>
      <c r="G1904" s="6"/>
      <c r="H1904" s="6">
        <v>1</v>
      </c>
      <c r="I1904" s="6">
        <v>3</v>
      </c>
      <c r="J1904" s="6">
        <v>5</v>
      </c>
      <c r="K1904" s="6">
        <v>3</v>
      </c>
      <c r="L1904" s="6">
        <v>0</v>
      </c>
      <c r="M1904" s="6">
        <v>4</v>
      </c>
    </row>
    <row r="1905" spans="1:13">
      <c r="A1905" s="6" t="s">
        <v>3277</v>
      </c>
      <c r="B1905" s="3">
        <v>0</v>
      </c>
      <c r="C1905" s="6">
        <v>0</v>
      </c>
      <c r="D1905" s="6">
        <v>2</v>
      </c>
      <c r="E1905" s="6">
        <v>3</v>
      </c>
      <c r="F1905" s="6">
        <v>0</v>
      </c>
      <c r="G1905" s="6">
        <v>0</v>
      </c>
      <c r="H1905" s="6">
        <v>7</v>
      </c>
      <c r="I1905" s="6">
        <v>4</v>
      </c>
      <c r="J1905" s="6">
        <v>7</v>
      </c>
      <c r="K1905" s="6">
        <v>6</v>
      </c>
      <c r="L1905" s="6">
        <v>0</v>
      </c>
      <c r="M1905" s="6">
        <v>13</v>
      </c>
    </row>
    <row r="1906" spans="1:13">
      <c r="A1906" s="6" t="s">
        <v>3278</v>
      </c>
      <c r="B1906" s="3">
        <v>0</v>
      </c>
      <c r="C1906" s="6">
        <v>0</v>
      </c>
      <c r="D1906" s="6">
        <v>2</v>
      </c>
      <c r="E1906" s="6">
        <v>0</v>
      </c>
      <c r="F1906" s="6">
        <v>0</v>
      </c>
      <c r="G1906" s="6">
        <v>0</v>
      </c>
      <c r="H1906" s="6">
        <v>4</v>
      </c>
      <c r="I1906" s="6">
        <v>3</v>
      </c>
      <c r="J1906" s="6">
        <v>8</v>
      </c>
      <c r="K1906" s="6">
        <v>6</v>
      </c>
      <c r="L1906" s="6">
        <v>0</v>
      </c>
      <c r="M1906" s="6">
        <v>3</v>
      </c>
    </row>
    <row r="1907" spans="1:13">
      <c r="A1907" s="6" t="s">
        <v>3279</v>
      </c>
      <c r="B1907" s="3">
        <v>0</v>
      </c>
      <c r="C1907" s="6">
        <v>0</v>
      </c>
      <c r="D1907" s="6">
        <v>0</v>
      </c>
      <c r="E1907" s="6">
        <v>0</v>
      </c>
      <c r="F1907" s="6">
        <v>0</v>
      </c>
      <c r="G1907" s="6">
        <v>1</v>
      </c>
      <c r="H1907" s="6">
        <v>1</v>
      </c>
      <c r="I1907" s="6">
        <v>0</v>
      </c>
      <c r="J1907" s="6">
        <v>5</v>
      </c>
      <c r="K1907" s="6">
        <v>1</v>
      </c>
      <c r="L1907" s="6">
        <v>1</v>
      </c>
      <c r="M1907" s="6">
        <v>8</v>
      </c>
    </row>
    <row r="1908" spans="1:13">
      <c r="A1908" s="6" t="s">
        <v>3280</v>
      </c>
      <c r="B1908" s="3">
        <v>0</v>
      </c>
      <c r="C1908" s="6">
        <v>0</v>
      </c>
      <c r="D1908" s="6">
        <v>6</v>
      </c>
      <c r="E1908" s="6">
        <v>1</v>
      </c>
      <c r="F1908" s="6">
        <v>0</v>
      </c>
      <c r="G1908" s="6">
        <v>0</v>
      </c>
      <c r="H1908" s="6">
        <v>11</v>
      </c>
      <c r="I1908" s="6">
        <v>6</v>
      </c>
      <c r="J1908" s="6">
        <v>12</v>
      </c>
      <c r="K1908" s="6">
        <v>4</v>
      </c>
      <c r="L1908" s="6">
        <v>1</v>
      </c>
      <c r="M1908" s="6">
        <v>2</v>
      </c>
    </row>
    <row r="1909" spans="1:13">
      <c r="A1909" s="6" t="s">
        <v>3281</v>
      </c>
      <c r="B1909" s="3">
        <v>1</v>
      </c>
      <c r="C1909" s="6">
        <v>2</v>
      </c>
      <c r="D1909" s="6">
        <v>1</v>
      </c>
      <c r="E1909" s="6">
        <v>4</v>
      </c>
      <c r="F1909" s="6">
        <v>0</v>
      </c>
      <c r="G1909" s="6">
        <v>0</v>
      </c>
      <c r="H1909" s="6">
        <v>10</v>
      </c>
      <c r="I1909" s="6">
        <v>6</v>
      </c>
      <c r="J1909" s="6">
        <v>15</v>
      </c>
      <c r="K1909" s="6">
        <v>7</v>
      </c>
      <c r="L1909" s="6">
        <v>0</v>
      </c>
      <c r="M1909" s="6">
        <v>9</v>
      </c>
    </row>
    <row r="1910" spans="1:13">
      <c r="A1910" s="6" t="s">
        <v>3282</v>
      </c>
      <c r="B1910" s="3">
        <v>0</v>
      </c>
      <c r="C1910" s="6">
        <v>0</v>
      </c>
      <c r="D1910" s="6">
        <v>2</v>
      </c>
      <c r="E1910" s="6">
        <v>6</v>
      </c>
      <c r="F1910" s="6">
        <v>0</v>
      </c>
      <c r="G1910" s="6">
        <v>0</v>
      </c>
      <c r="H1910" s="6">
        <v>8</v>
      </c>
      <c r="I1910" s="6">
        <v>2</v>
      </c>
      <c r="J1910" s="6">
        <v>12</v>
      </c>
      <c r="K1910" s="6">
        <v>7</v>
      </c>
      <c r="L1910" s="6">
        <v>0</v>
      </c>
      <c r="M1910" s="6">
        <v>12</v>
      </c>
    </row>
    <row r="1911" spans="1:13">
      <c r="A1911" s="6" t="s">
        <v>3283</v>
      </c>
      <c r="B1911" s="3">
        <v>0</v>
      </c>
      <c r="C1911" s="6">
        <v>0</v>
      </c>
      <c r="D1911" s="6">
        <v>2</v>
      </c>
      <c r="E1911" s="6">
        <v>0</v>
      </c>
      <c r="F1911" s="6">
        <v>0</v>
      </c>
      <c r="G1911" s="6">
        <v>0</v>
      </c>
      <c r="H1911" s="6">
        <v>3</v>
      </c>
      <c r="I1911" s="6">
        <v>3</v>
      </c>
      <c r="J1911" s="6">
        <v>4</v>
      </c>
      <c r="K1911" s="6">
        <v>6</v>
      </c>
      <c r="L1911" s="6">
        <v>0</v>
      </c>
      <c r="M1911" s="6">
        <v>12</v>
      </c>
    </row>
    <row r="1912" spans="1:13">
      <c r="A1912" s="6" t="s">
        <v>3284</v>
      </c>
      <c r="B1912" s="3">
        <v>0</v>
      </c>
      <c r="C1912" s="6">
        <v>0</v>
      </c>
      <c r="D1912" s="6">
        <v>2</v>
      </c>
      <c r="E1912" s="6">
        <v>1</v>
      </c>
      <c r="F1912" s="6">
        <v>0</v>
      </c>
      <c r="G1912" s="6">
        <v>0</v>
      </c>
      <c r="H1912" s="6">
        <v>3</v>
      </c>
      <c r="I1912" s="6">
        <v>2</v>
      </c>
      <c r="J1912" s="6">
        <v>15</v>
      </c>
      <c r="K1912" s="6">
        <v>3</v>
      </c>
      <c r="L1912" s="6">
        <v>1</v>
      </c>
      <c r="M1912" s="6">
        <v>0</v>
      </c>
    </row>
    <row r="1913" spans="1:13">
      <c r="A1913" s="6" t="s">
        <v>3285</v>
      </c>
      <c r="B1913" s="3">
        <v>0</v>
      </c>
      <c r="C1913" s="6">
        <v>0</v>
      </c>
      <c r="D1913" s="6">
        <v>5</v>
      </c>
      <c r="E1913" s="6">
        <v>3</v>
      </c>
      <c r="F1913" s="6">
        <v>0</v>
      </c>
      <c r="G1913" s="6">
        <v>0</v>
      </c>
      <c r="H1913" s="6">
        <v>8</v>
      </c>
      <c r="I1913" s="6">
        <v>4</v>
      </c>
      <c r="J1913" s="6">
        <v>15</v>
      </c>
      <c r="K1913" s="6">
        <v>7</v>
      </c>
      <c r="L1913" s="6">
        <v>1</v>
      </c>
      <c r="M1913" s="6">
        <v>8</v>
      </c>
    </row>
    <row r="1914" spans="1:13">
      <c r="A1914" s="6" t="s">
        <v>3286</v>
      </c>
      <c r="B1914" s="3"/>
      <c r="C1914" s="6"/>
      <c r="D1914" s="6">
        <v>3</v>
      </c>
      <c r="E1914" s="6">
        <v>2</v>
      </c>
      <c r="F1914" s="6"/>
      <c r="G1914" s="6">
        <v>0</v>
      </c>
      <c r="H1914" s="6">
        <v>13</v>
      </c>
      <c r="I1914" s="6">
        <v>4</v>
      </c>
      <c r="J1914" s="6">
        <v>8</v>
      </c>
      <c r="K1914" s="6">
        <v>11</v>
      </c>
      <c r="L1914" s="6">
        <v>1</v>
      </c>
      <c r="M1914" s="6">
        <v>14</v>
      </c>
    </row>
    <row r="1915" spans="1:13">
      <c r="A1915" s="6" t="s">
        <v>3287</v>
      </c>
      <c r="B1915" s="3">
        <v>0</v>
      </c>
      <c r="C1915" s="6">
        <v>0</v>
      </c>
      <c r="D1915" s="6">
        <v>0</v>
      </c>
      <c r="E1915" s="6">
        <v>2</v>
      </c>
      <c r="F1915" s="6">
        <v>0</v>
      </c>
      <c r="G1915" s="6">
        <v>0</v>
      </c>
      <c r="H1915" s="6">
        <v>2</v>
      </c>
      <c r="I1915" s="6">
        <v>2</v>
      </c>
      <c r="J1915" s="6">
        <v>6</v>
      </c>
      <c r="K1915" s="6">
        <v>2</v>
      </c>
      <c r="L1915" s="6">
        <v>0</v>
      </c>
      <c r="M1915" s="6">
        <v>13</v>
      </c>
    </row>
    <row r="1916" spans="1:13">
      <c r="A1916" s="6" t="s">
        <v>3288</v>
      </c>
      <c r="B1916" s="3">
        <v>0</v>
      </c>
      <c r="C1916" s="6">
        <v>0</v>
      </c>
      <c r="D1916" s="6">
        <v>5</v>
      </c>
      <c r="E1916" s="6">
        <v>1</v>
      </c>
      <c r="F1916" s="6">
        <v>0</v>
      </c>
      <c r="G1916" s="6">
        <v>0</v>
      </c>
      <c r="H1916" s="6">
        <v>6</v>
      </c>
      <c r="I1916" s="6">
        <v>2</v>
      </c>
      <c r="J1916" s="6">
        <v>14</v>
      </c>
      <c r="K1916" s="6">
        <v>8</v>
      </c>
      <c r="L1916" s="6">
        <v>0</v>
      </c>
      <c r="M1916" s="6">
        <v>7</v>
      </c>
    </row>
    <row r="1917" spans="1:13">
      <c r="A1917" s="6" t="s">
        <v>3289</v>
      </c>
      <c r="B1917" s="3">
        <v>0</v>
      </c>
      <c r="C1917" s="6">
        <v>0</v>
      </c>
      <c r="D1917" s="6">
        <v>1</v>
      </c>
      <c r="E1917" s="6">
        <v>7</v>
      </c>
      <c r="F1917" s="6">
        <v>0</v>
      </c>
      <c r="G1917" s="6">
        <v>0</v>
      </c>
      <c r="H1917" s="6">
        <v>12</v>
      </c>
      <c r="I1917" s="6">
        <v>7</v>
      </c>
      <c r="J1917" s="6">
        <v>9</v>
      </c>
      <c r="K1917" s="6">
        <v>7</v>
      </c>
      <c r="L1917" s="6">
        <v>0</v>
      </c>
      <c r="M1917" s="6">
        <v>21</v>
      </c>
    </row>
    <row r="1918" spans="1:13">
      <c r="A1918" s="6" t="s">
        <v>3290</v>
      </c>
      <c r="B1918" s="3">
        <v>0</v>
      </c>
      <c r="C1918" s="6">
        <v>0</v>
      </c>
      <c r="D1918" s="6">
        <v>0</v>
      </c>
      <c r="E1918" s="6">
        <v>2</v>
      </c>
      <c r="F1918" s="6">
        <v>0</v>
      </c>
      <c r="G1918" s="6">
        <v>0</v>
      </c>
      <c r="H1918" s="6">
        <v>2</v>
      </c>
      <c r="I1918" s="6">
        <v>3</v>
      </c>
      <c r="J1918" s="6">
        <v>4</v>
      </c>
      <c r="K1918" s="6">
        <v>3</v>
      </c>
      <c r="L1918" s="6">
        <v>0</v>
      </c>
      <c r="M1918" s="6">
        <v>6</v>
      </c>
    </row>
    <row r="1919" spans="1:13">
      <c r="A1919" s="6" t="s">
        <v>3291</v>
      </c>
      <c r="B1919" s="3">
        <v>0</v>
      </c>
      <c r="C1919" s="6">
        <v>2</v>
      </c>
      <c r="D1919" s="6">
        <v>1</v>
      </c>
      <c r="E1919" s="6">
        <v>3</v>
      </c>
      <c r="F1919" s="6">
        <v>2</v>
      </c>
      <c r="G1919" s="6">
        <v>0</v>
      </c>
      <c r="H1919" s="6">
        <v>10</v>
      </c>
      <c r="I1919" s="6">
        <v>5</v>
      </c>
      <c r="J1919" s="6">
        <v>12</v>
      </c>
      <c r="K1919" s="6">
        <v>7</v>
      </c>
      <c r="L1919" s="6">
        <v>0</v>
      </c>
      <c r="M1919" s="6">
        <v>4</v>
      </c>
    </row>
    <row r="1920" spans="1:13">
      <c r="A1920" s="6" t="s">
        <v>3292</v>
      </c>
      <c r="B1920" s="3">
        <v>0</v>
      </c>
      <c r="C1920" s="6">
        <v>0</v>
      </c>
      <c r="D1920" s="6">
        <v>1</v>
      </c>
      <c r="E1920" s="6">
        <v>5</v>
      </c>
      <c r="F1920" s="6">
        <v>0</v>
      </c>
      <c r="G1920" s="6">
        <v>0</v>
      </c>
      <c r="H1920" s="6">
        <v>5</v>
      </c>
      <c r="I1920" s="6">
        <v>3</v>
      </c>
      <c r="J1920" s="6">
        <v>8</v>
      </c>
      <c r="K1920" s="6">
        <v>5</v>
      </c>
      <c r="L1920" s="6">
        <v>0</v>
      </c>
      <c r="M1920" s="6">
        <v>13</v>
      </c>
    </row>
    <row r="1921" spans="1:13">
      <c r="A1921" s="6" t="s">
        <v>3293</v>
      </c>
      <c r="B1921" s="3">
        <v>0</v>
      </c>
      <c r="C1921" s="6">
        <v>0</v>
      </c>
      <c r="D1921" s="6">
        <v>2</v>
      </c>
      <c r="E1921" s="6">
        <v>3</v>
      </c>
      <c r="F1921" s="6">
        <v>0</v>
      </c>
      <c r="G1921" s="6">
        <v>0</v>
      </c>
      <c r="H1921" s="6">
        <v>6</v>
      </c>
      <c r="I1921" s="6">
        <v>5</v>
      </c>
      <c r="J1921" s="6">
        <v>8</v>
      </c>
      <c r="K1921" s="6">
        <v>3</v>
      </c>
      <c r="L1921" s="6">
        <v>0</v>
      </c>
      <c r="M1921" s="6">
        <v>8</v>
      </c>
    </row>
    <row r="1922" spans="1:13">
      <c r="A1922" s="6" t="s">
        <v>3294</v>
      </c>
      <c r="B1922" s="3">
        <v>0</v>
      </c>
      <c r="C1922" s="6">
        <v>1</v>
      </c>
      <c r="D1922" s="6">
        <v>1</v>
      </c>
      <c r="E1922" s="6">
        <v>2</v>
      </c>
      <c r="F1922" s="6">
        <v>0</v>
      </c>
      <c r="G1922" s="6">
        <v>0</v>
      </c>
      <c r="H1922" s="6">
        <v>4</v>
      </c>
      <c r="I1922" s="6">
        <v>1</v>
      </c>
      <c r="J1922" s="6">
        <v>5</v>
      </c>
      <c r="K1922" s="6">
        <v>5</v>
      </c>
      <c r="L1922" s="6">
        <v>1</v>
      </c>
      <c r="M1922" s="6">
        <v>7</v>
      </c>
    </row>
    <row r="1923" spans="1:13">
      <c r="A1923" s="6" t="s">
        <v>3295</v>
      </c>
      <c r="B1923" s="3">
        <v>0</v>
      </c>
      <c r="C1923" s="6">
        <v>0</v>
      </c>
      <c r="D1923" s="6">
        <v>3</v>
      </c>
      <c r="E1923" s="6">
        <v>3</v>
      </c>
      <c r="F1923" s="6">
        <v>0</v>
      </c>
      <c r="G1923" s="6">
        <v>0</v>
      </c>
      <c r="H1923" s="6">
        <v>6</v>
      </c>
      <c r="I1923" s="6">
        <v>2</v>
      </c>
      <c r="J1923" s="6">
        <v>9</v>
      </c>
      <c r="K1923" s="6">
        <v>4</v>
      </c>
      <c r="L1923" s="6">
        <v>1</v>
      </c>
      <c r="M1923" s="6">
        <v>5</v>
      </c>
    </row>
    <row r="1924" spans="1:13">
      <c r="A1924" s="6" t="s">
        <v>3296</v>
      </c>
      <c r="B1924" s="3">
        <v>2</v>
      </c>
      <c r="C1924" s="6">
        <v>0</v>
      </c>
      <c r="D1924" s="6">
        <v>0</v>
      </c>
      <c r="E1924" s="6">
        <v>2</v>
      </c>
      <c r="F1924" s="6">
        <v>2</v>
      </c>
      <c r="G1924" s="6">
        <v>0</v>
      </c>
      <c r="H1924" s="6">
        <v>4</v>
      </c>
      <c r="I1924" s="6">
        <v>2</v>
      </c>
      <c r="J1924" s="6">
        <v>11</v>
      </c>
      <c r="K1924" s="6">
        <v>4</v>
      </c>
      <c r="L1924" s="6">
        <v>0</v>
      </c>
      <c r="M1924" s="6">
        <v>7</v>
      </c>
    </row>
    <row r="1925" spans="1:13">
      <c r="A1925" s="6" t="s">
        <v>3297</v>
      </c>
      <c r="B1925" s="3">
        <v>1</v>
      </c>
      <c r="C1925" s="6">
        <v>0</v>
      </c>
      <c r="D1925" s="6">
        <v>5</v>
      </c>
      <c r="E1925" s="6">
        <v>1</v>
      </c>
      <c r="F1925" s="6">
        <v>0</v>
      </c>
      <c r="G1925" s="6">
        <v>0</v>
      </c>
      <c r="H1925" s="6">
        <v>8</v>
      </c>
      <c r="I1925" s="6">
        <v>2</v>
      </c>
      <c r="J1925" s="6">
        <v>10</v>
      </c>
      <c r="K1925" s="6">
        <v>5</v>
      </c>
      <c r="L1925" s="6">
        <v>0</v>
      </c>
      <c r="M1925" s="6">
        <v>5</v>
      </c>
    </row>
    <row r="1926" spans="1:13">
      <c r="A1926" s="6" t="s">
        <v>3298</v>
      </c>
      <c r="B1926" s="3"/>
      <c r="C1926" s="6">
        <v>1</v>
      </c>
      <c r="D1926" s="6">
        <v>2</v>
      </c>
      <c r="E1926" s="6">
        <v>3</v>
      </c>
      <c r="F1926" s="6"/>
      <c r="G1926" s="6"/>
      <c r="H1926" s="6">
        <v>7</v>
      </c>
      <c r="I1926" s="6">
        <v>3</v>
      </c>
      <c r="J1926" s="6">
        <v>9</v>
      </c>
      <c r="K1926" s="6">
        <v>7</v>
      </c>
      <c r="L1926" s="6"/>
      <c r="M1926" s="6">
        <v>16</v>
      </c>
    </row>
    <row r="1927" spans="1:13">
      <c r="A1927" s="6" t="s">
        <v>3299</v>
      </c>
      <c r="B1927" s="3">
        <v>0</v>
      </c>
      <c r="C1927" s="6">
        <v>0</v>
      </c>
      <c r="D1927" s="6">
        <v>2</v>
      </c>
      <c r="E1927" s="6">
        <v>2</v>
      </c>
      <c r="F1927" s="6">
        <v>0</v>
      </c>
      <c r="G1927" s="6">
        <v>0</v>
      </c>
      <c r="H1927" s="6">
        <v>5</v>
      </c>
      <c r="I1927" s="6">
        <v>2</v>
      </c>
      <c r="J1927" s="6">
        <v>10</v>
      </c>
      <c r="K1927" s="6">
        <v>8</v>
      </c>
      <c r="L1927" s="6">
        <v>0</v>
      </c>
      <c r="M1927" s="6">
        <v>11</v>
      </c>
    </row>
    <row r="1928" spans="1:13">
      <c r="A1928" s="6" t="s">
        <v>3300</v>
      </c>
      <c r="B1928" s="3">
        <v>0</v>
      </c>
      <c r="C1928" s="6">
        <v>0</v>
      </c>
      <c r="D1928" s="6">
        <v>1</v>
      </c>
      <c r="E1928" s="6">
        <v>2</v>
      </c>
      <c r="F1928" s="6">
        <v>0</v>
      </c>
      <c r="G1928" s="6">
        <v>0</v>
      </c>
      <c r="H1928" s="6">
        <v>3</v>
      </c>
      <c r="I1928" s="6">
        <v>2</v>
      </c>
      <c r="J1928" s="6">
        <v>6</v>
      </c>
      <c r="K1928" s="6">
        <v>2</v>
      </c>
      <c r="L1928" s="6">
        <v>0</v>
      </c>
      <c r="M1928" s="6">
        <v>0</v>
      </c>
    </row>
    <row r="1929" spans="1:13">
      <c r="A1929" s="6" t="s">
        <v>3301</v>
      </c>
      <c r="B1929" s="3">
        <v>0</v>
      </c>
      <c r="C1929" s="6">
        <v>0</v>
      </c>
      <c r="D1929" s="6">
        <v>2</v>
      </c>
      <c r="E1929" s="6">
        <v>3</v>
      </c>
      <c r="F1929" s="6">
        <v>1</v>
      </c>
      <c r="G1929" s="6">
        <v>0</v>
      </c>
      <c r="H1929" s="6">
        <v>6</v>
      </c>
      <c r="I1929" s="6">
        <v>2</v>
      </c>
      <c r="J1929" s="6">
        <v>7</v>
      </c>
      <c r="K1929" s="6">
        <v>1</v>
      </c>
      <c r="L1929" s="6">
        <v>0</v>
      </c>
      <c r="M1929" s="6">
        <v>4</v>
      </c>
    </row>
    <row r="1930" spans="1:13">
      <c r="A1930" s="6" t="s">
        <v>3302</v>
      </c>
      <c r="B1930" s="3"/>
      <c r="C1930" s="6"/>
      <c r="D1930" s="6">
        <v>5</v>
      </c>
      <c r="E1930" s="6">
        <v>2</v>
      </c>
      <c r="F1930" s="6">
        <v>0</v>
      </c>
      <c r="G1930" s="6">
        <v>0</v>
      </c>
      <c r="H1930" s="6">
        <v>7</v>
      </c>
      <c r="I1930" s="6">
        <v>0</v>
      </c>
      <c r="J1930" s="6">
        <v>8</v>
      </c>
      <c r="K1930" s="6">
        <v>3</v>
      </c>
      <c r="L1930" s="6">
        <v>0</v>
      </c>
      <c r="M1930" s="6">
        <v>6</v>
      </c>
    </row>
    <row r="1931" spans="1:13">
      <c r="A1931" s="6" t="s">
        <v>3303</v>
      </c>
      <c r="B1931" s="3"/>
      <c r="C1931" s="6"/>
      <c r="D1931" s="6">
        <v>3</v>
      </c>
      <c r="E1931" s="6">
        <v>0</v>
      </c>
      <c r="F1931" s="6">
        <v>0</v>
      </c>
      <c r="G1931" s="6">
        <v>0</v>
      </c>
      <c r="H1931" s="6">
        <v>7</v>
      </c>
      <c r="I1931" s="6">
        <v>3</v>
      </c>
      <c r="J1931" s="6">
        <v>8</v>
      </c>
      <c r="K1931" s="6">
        <v>5</v>
      </c>
      <c r="L1931" s="6">
        <v>0</v>
      </c>
      <c r="M1931" s="6">
        <v>10</v>
      </c>
    </row>
    <row r="1932" spans="1:13">
      <c r="A1932" s="6" t="s">
        <v>3304</v>
      </c>
      <c r="B1932" s="3">
        <v>0</v>
      </c>
      <c r="C1932" s="6">
        <v>1</v>
      </c>
      <c r="D1932" s="6">
        <v>7</v>
      </c>
      <c r="E1932" s="6">
        <v>6</v>
      </c>
      <c r="F1932" s="6">
        <v>0</v>
      </c>
      <c r="G1932" s="6">
        <v>0</v>
      </c>
      <c r="H1932" s="6">
        <v>18</v>
      </c>
      <c r="I1932" s="6">
        <v>7</v>
      </c>
      <c r="J1932" s="6">
        <v>12</v>
      </c>
      <c r="K1932" s="6">
        <v>11</v>
      </c>
      <c r="L1932" s="6">
        <v>2</v>
      </c>
      <c r="M1932" s="6">
        <v>15</v>
      </c>
    </row>
    <row r="1933" spans="1:13">
      <c r="A1933" s="6" t="s">
        <v>3305</v>
      </c>
      <c r="B1933" s="3">
        <v>0</v>
      </c>
      <c r="C1933" s="6">
        <v>1</v>
      </c>
      <c r="D1933" s="6">
        <v>2</v>
      </c>
      <c r="E1933" s="6">
        <v>2</v>
      </c>
      <c r="F1933" s="6">
        <v>1</v>
      </c>
      <c r="G1933" s="6">
        <v>0</v>
      </c>
      <c r="H1933" s="6">
        <v>5</v>
      </c>
      <c r="I1933" s="6">
        <v>2</v>
      </c>
      <c r="J1933" s="6">
        <v>6</v>
      </c>
      <c r="K1933" s="6">
        <v>4</v>
      </c>
      <c r="L1933" s="6">
        <v>0</v>
      </c>
      <c r="M1933" s="6">
        <v>10</v>
      </c>
    </row>
    <row r="1934" spans="1:13">
      <c r="A1934" s="6" t="s">
        <v>3306</v>
      </c>
      <c r="B1934" s="3">
        <v>0</v>
      </c>
      <c r="C1934" s="6">
        <v>0</v>
      </c>
      <c r="D1934" s="6">
        <v>2</v>
      </c>
      <c r="E1934" s="6">
        <v>0</v>
      </c>
      <c r="F1934" s="6">
        <v>0</v>
      </c>
      <c r="G1934" s="6">
        <v>0</v>
      </c>
      <c r="H1934" s="6">
        <v>4</v>
      </c>
      <c r="I1934" s="6">
        <v>3</v>
      </c>
      <c r="J1934" s="6">
        <v>6</v>
      </c>
      <c r="K1934" s="6">
        <v>5</v>
      </c>
      <c r="L1934" s="6">
        <v>0</v>
      </c>
      <c r="M1934" s="6">
        <v>7</v>
      </c>
    </row>
    <row r="1935" spans="1:13">
      <c r="A1935" s="6" t="s">
        <v>3307</v>
      </c>
      <c r="B1935" s="3">
        <v>0</v>
      </c>
      <c r="C1935" s="6">
        <v>0</v>
      </c>
      <c r="D1935" s="6">
        <v>1</v>
      </c>
      <c r="E1935" s="6">
        <v>0</v>
      </c>
      <c r="F1935" s="6">
        <v>0</v>
      </c>
      <c r="G1935" s="6">
        <v>1</v>
      </c>
      <c r="H1935" s="6">
        <v>3</v>
      </c>
      <c r="I1935" s="6">
        <v>1</v>
      </c>
      <c r="J1935" s="6">
        <v>6</v>
      </c>
      <c r="K1935" s="6">
        <v>9</v>
      </c>
      <c r="L1935" s="6">
        <v>0</v>
      </c>
      <c r="M1935" s="6">
        <v>7</v>
      </c>
    </row>
    <row r="1936" spans="1:13">
      <c r="A1936" s="6" t="s">
        <v>3308</v>
      </c>
      <c r="B1936" s="3">
        <v>0</v>
      </c>
      <c r="C1936" s="6">
        <v>0</v>
      </c>
      <c r="D1936" s="6">
        <v>0</v>
      </c>
      <c r="E1936" s="6">
        <v>0</v>
      </c>
      <c r="F1936" s="6">
        <v>0</v>
      </c>
      <c r="G1936" s="6">
        <v>0</v>
      </c>
      <c r="H1936" s="6">
        <v>3</v>
      </c>
      <c r="I1936" s="6">
        <v>1</v>
      </c>
      <c r="J1936" s="6">
        <v>7</v>
      </c>
      <c r="K1936" s="6">
        <v>3</v>
      </c>
      <c r="L1936" s="6">
        <v>0</v>
      </c>
      <c r="M1936" s="6">
        <v>2</v>
      </c>
    </row>
    <row r="1937" spans="1:13">
      <c r="A1937" s="6" t="s">
        <v>3309</v>
      </c>
      <c r="B1937" s="3">
        <v>0</v>
      </c>
      <c r="C1937" s="6">
        <v>0</v>
      </c>
      <c r="D1937" s="6">
        <v>0</v>
      </c>
      <c r="E1937" s="6">
        <v>2</v>
      </c>
      <c r="F1937" s="6">
        <v>0</v>
      </c>
      <c r="G1937" s="6">
        <v>0</v>
      </c>
      <c r="H1937" s="6">
        <v>4</v>
      </c>
      <c r="I1937" s="6">
        <v>1</v>
      </c>
      <c r="J1937" s="6">
        <v>10</v>
      </c>
      <c r="K1937" s="6">
        <v>8</v>
      </c>
      <c r="L1937" s="6">
        <v>1</v>
      </c>
      <c r="M1937" s="6">
        <v>4</v>
      </c>
    </row>
    <row r="1938" spans="1:13">
      <c r="A1938" s="6" t="s">
        <v>3310</v>
      </c>
      <c r="B1938" s="3"/>
      <c r="C1938" s="6"/>
      <c r="D1938" s="6">
        <v>1</v>
      </c>
      <c r="E1938" s="6">
        <v>3</v>
      </c>
      <c r="F1938" s="6">
        <v>0</v>
      </c>
      <c r="G1938" s="6">
        <v>0</v>
      </c>
      <c r="H1938" s="6">
        <v>5</v>
      </c>
      <c r="I1938" s="6">
        <v>2</v>
      </c>
      <c r="J1938" s="6">
        <v>5</v>
      </c>
      <c r="K1938" s="6">
        <v>6</v>
      </c>
      <c r="L1938" s="6">
        <v>0</v>
      </c>
      <c r="M1938" s="6">
        <v>12</v>
      </c>
    </row>
    <row r="1939" spans="1:13">
      <c r="A1939" s="6" t="s">
        <v>3311</v>
      </c>
      <c r="B1939" s="3">
        <v>0</v>
      </c>
      <c r="C1939" s="6">
        <v>3</v>
      </c>
      <c r="D1939" s="6">
        <v>3</v>
      </c>
      <c r="E1939" s="6">
        <v>3</v>
      </c>
      <c r="F1939" s="6">
        <v>0</v>
      </c>
      <c r="G1939" s="6">
        <v>0</v>
      </c>
      <c r="H1939" s="6">
        <v>9</v>
      </c>
      <c r="I1939" s="6">
        <v>9</v>
      </c>
      <c r="J1939" s="6">
        <v>11</v>
      </c>
      <c r="K1939" s="6">
        <v>3</v>
      </c>
      <c r="L1939" s="6">
        <v>0</v>
      </c>
      <c r="M1939" s="6">
        <v>3</v>
      </c>
    </row>
    <row r="1940" spans="1:13">
      <c r="A1940" s="6" t="s">
        <v>3312</v>
      </c>
      <c r="B1940" s="3">
        <v>0</v>
      </c>
      <c r="C1940" s="6">
        <v>1</v>
      </c>
      <c r="D1940" s="6">
        <v>3</v>
      </c>
      <c r="E1940" s="6">
        <v>0</v>
      </c>
      <c r="F1940" s="6">
        <v>0</v>
      </c>
      <c r="G1940" s="6">
        <v>0</v>
      </c>
      <c r="H1940" s="6">
        <v>5</v>
      </c>
      <c r="I1940" s="6">
        <v>4</v>
      </c>
      <c r="J1940" s="6">
        <v>8</v>
      </c>
      <c r="K1940" s="6">
        <v>6</v>
      </c>
      <c r="L1940" s="6">
        <v>0</v>
      </c>
      <c r="M1940" s="6">
        <v>10</v>
      </c>
    </row>
    <row r="1941" spans="1:13">
      <c r="A1941" s="6" t="s">
        <v>3313</v>
      </c>
      <c r="B1941" s="3">
        <v>0</v>
      </c>
      <c r="C1941" s="6">
        <v>0</v>
      </c>
      <c r="D1941" s="6">
        <v>1</v>
      </c>
      <c r="E1941" s="6">
        <v>4</v>
      </c>
      <c r="F1941" s="6">
        <v>0</v>
      </c>
      <c r="G1941" s="6">
        <v>0</v>
      </c>
      <c r="H1941" s="6">
        <v>5</v>
      </c>
      <c r="I1941" s="6">
        <v>1</v>
      </c>
      <c r="J1941" s="6">
        <v>4</v>
      </c>
      <c r="K1941" s="6">
        <v>4</v>
      </c>
      <c r="L1941" s="6">
        <v>0</v>
      </c>
      <c r="M1941" s="6">
        <v>6</v>
      </c>
    </row>
    <row r="1942" spans="1:13">
      <c r="A1942" s="6" t="s">
        <v>3314</v>
      </c>
      <c r="B1942" s="3">
        <v>0</v>
      </c>
      <c r="C1942" s="6">
        <v>0</v>
      </c>
      <c r="D1942" s="6">
        <v>3</v>
      </c>
      <c r="E1942" s="6">
        <v>0</v>
      </c>
      <c r="F1942" s="6">
        <v>0</v>
      </c>
      <c r="G1942" s="6">
        <v>0</v>
      </c>
      <c r="H1942" s="6">
        <v>5</v>
      </c>
      <c r="I1942" s="6">
        <v>0</v>
      </c>
      <c r="J1942" s="6">
        <v>3</v>
      </c>
      <c r="K1942" s="6">
        <v>5</v>
      </c>
      <c r="L1942" s="6">
        <v>0</v>
      </c>
      <c r="M1942" s="6">
        <v>6</v>
      </c>
    </row>
    <row r="1943" spans="1:13">
      <c r="A1943" s="6" t="s">
        <v>3315</v>
      </c>
      <c r="B1943" s="3">
        <v>0</v>
      </c>
      <c r="C1943" s="6">
        <v>0</v>
      </c>
      <c r="D1943" s="6">
        <v>0</v>
      </c>
      <c r="E1943" s="6">
        <v>0</v>
      </c>
      <c r="F1943" s="6">
        <v>0</v>
      </c>
      <c r="G1943" s="6">
        <v>0</v>
      </c>
      <c r="H1943" s="6">
        <v>1</v>
      </c>
      <c r="I1943" s="6">
        <v>3</v>
      </c>
      <c r="J1943" s="6">
        <v>5</v>
      </c>
      <c r="K1943" s="6">
        <v>2</v>
      </c>
      <c r="L1943" s="6">
        <v>0</v>
      </c>
      <c r="M1943" s="6">
        <v>2</v>
      </c>
    </row>
    <row r="1944" spans="1:13">
      <c r="A1944" s="6" t="s">
        <v>3316</v>
      </c>
      <c r="B1944" s="3">
        <v>0</v>
      </c>
      <c r="C1944" s="6">
        <v>0</v>
      </c>
      <c r="D1944" s="6">
        <v>0</v>
      </c>
      <c r="E1944" s="6">
        <v>1</v>
      </c>
      <c r="F1944" s="6">
        <v>0</v>
      </c>
      <c r="G1944" s="6">
        <v>0</v>
      </c>
      <c r="H1944" s="6">
        <v>3</v>
      </c>
      <c r="I1944" s="6">
        <v>2</v>
      </c>
      <c r="J1944" s="6">
        <v>5</v>
      </c>
      <c r="K1944" s="6">
        <v>12</v>
      </c>
      <c r="L1944" s="6">
        <v>0</v>
      </c>
      <c r="M1944" s="6">
        <v>3</v>
      </c>
    </row>
    <row r="1945" spans="1:13">
      <c r="A1945" s="6" t="s">
        <v>3317</v>
      </c>
      <c r="B1945" s="3">
        <v>0</v>
      </c>
      <c r="C1945" s="6">
        <v>0</v>
      </c>
      <c r="D1945" s="6">
        <v>2</v>
      </c>
      <c r="E1945" s="6">
        <v>3</v>
      </c>
      <c r="F1945" s="6">
        <v>0</v>
      </c>
      <c r="G1945" s="6">
        <v>0</v>
      </c>
      <c r="H1945" s="6">
        <v>5</v>
      </c>
      <c r="I1945" s="6">
        <v>1</v>
      </c>
      <c r="J1945" s="6">
        <v>8</v>
      </c>
      <c r="K1945" s="6">
        <v>3</v>
      </c>
      <c r="L1945" s="6">
        <v>0</v>
      </c>
      <c r="M1945" s="6">
        <v>11</v>
      </c>
    </row>
    <row r="1946" spans="1:13">
      <c r="A1946" s="6" t="s">
        <v>3318</v>
      </c>
      <c r="B1946" s="3">
        <v>1</v>
      </c>
      <c r="C1946" s="6">
        <v>1</v>
      </c>
      <c r="D1946" s="6">
        <v>4</v>
      </c>
      <c r="E1946" s="6">
        <v>1</v>
      </c>
      <c r="F1946" s="6">
        <v>1</v>
      </c>
      <c r="G1946" s="6">
        <v>0</v>
      </c>
      <c r="H1946" s="6">
        <v>12</v>
      </c>
      <c r="I1946" s="6">
        <v>3</v>
      </c>
      <c r="J1946" s="6">
        <v>13</v>
      </c>
      <c r="K1946" s="6">
        <v>6</v>
      </c>
      <c r="L1946" s="6">
        <v>1</v>
      </c>
      <c r="M1946" s="6">
        <v>6</v>
      </c>
    </row>
    <row r="1947" spans="1:13">
      <c r="A1947" s="6" t="s">
        <v>3319</v>
      </c>
      <c r="B1947" s="3">
        <v>0</v>
      </c>
      <c r="C1947" s="6">
        <v>0</v>
      </c>
      <c r="D1947" s="6">
        <v>3</v>
      </c>
      <c r="E1947" s="6">
        <v>2</v>
      </c>
      <c r="F1947" s="6">
        <v>0</v>
      </c>
      <c r="G1947" s="6">
        <v>0</v>
      </c>
      <c r="H1947" s="6">
        <v>5</v>
      </c>
      <c r="I1947" s="6">
        <v>0</v>
      </c>
      <c r="J1947" s="6">
        <v>9</v>
      </c>
      <c r="K1947" s="6">
        <v>3</v>
      </c>
      <c r="L1947" s="6">
        <v>0</v>
      </c>
      <c r="M1947" s="6">
        <v>5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09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style="6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3125</v>
      </c>
    </row>
    <row r="2" spans="1:14">
      <c r="A2" t="s">
        <v>2470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4">
      <c r="A3" t="s">
        <v>2471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4">
      <c r="A4" t="s">
        <v>2472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4">
      <c r="A5" t="s">
        <v>2473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4">
      <c r="A6" t="s">
        <v>2474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4">
      <c r="A7" t="s">
        <v>2475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4">
      <c r="A8" t="s">
        <v>2476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4">
      <c r="A9" t="s">
        <v>2477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4">
      <c r="A10" t="s">
        <v>2478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4">
      <c r="A11" t="s">
        <v>2479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4">
      <c r="A12" t="s">
        <v>2480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4">
      <c r="A13" t="s">
        <v>2481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4">
      <c r="A14" t="s">
        <v>2482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4">
      <c r="A15" t="s">
        <v>2483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4">
      <c r="A16" t="s">
        <v>2484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2485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2486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2487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2488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2489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2490</v>
      </c>
      <c r="B22">
        <v>0</v>
      </c>
      <c r="C22">
        <v>0</v>
      </c>
      <c r="D22">
        <v>8</v>
      </c>
      <c r="E22">
        <v>11</v>
      </c>
      <c r="F22">
        <v>16</v>
      </c>
      <c r="G22">
        <v>8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2491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2492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2493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2494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2495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2496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2497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2498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2499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2500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2501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2502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2503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2504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2505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2506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2507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2508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2509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2510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2511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2512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2513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2514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2515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2516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2517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2518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2519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2520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2521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2522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2523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2524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2525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2526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2527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2528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2529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2530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2531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2532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2533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2534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2535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2536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2537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2538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2539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2540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2541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2542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2543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2544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2545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2546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2547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2548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2549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2550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2551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2552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2553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2554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2555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2556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2557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2558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2559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2560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2561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2562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2563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2564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2565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2566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2567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2568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2569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2570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2571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2572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2573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2574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2575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2576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2577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2578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2579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2580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2581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2582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2583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2584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2585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2586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2587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2588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2589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2590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2591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2592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2593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2594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2595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2596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2597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2598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2599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2600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2601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2602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2603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2604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2605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2606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2607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2608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2609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2610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2611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2612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2613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2614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2615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2616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2617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2618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2619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2620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2621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2622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2623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2624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2625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2626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2627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2628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2629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2630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2631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2632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2633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2634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2635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2636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2637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2638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2639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2640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2641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2642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2643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2644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2645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2646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2647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2648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2649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2650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2651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2652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2653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2654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2655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2656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2657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2658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2659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2660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2661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2662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2663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2664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2665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2666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2667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2668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2669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2670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2671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2672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2673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2674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2675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2676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2677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2678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2679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2680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2681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2682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2683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2684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2685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2686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2687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2688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2689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2690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2691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2692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2693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2694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2695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2696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2697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2698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2699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2700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2701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2702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2703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2704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2705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2706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2707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2708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2709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2710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2711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2712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2713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2714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2715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2716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2717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2718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2719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2720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2721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2722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2723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2724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2725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2726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2727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2728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2729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2730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2731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2732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2733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2734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2735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2736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2737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2738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2739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2740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2741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2742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2743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2744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2745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2746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2747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2748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2749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2750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2751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2752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2753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2754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2755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2756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2757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2758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2759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2760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2761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2762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2763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2764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2765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2766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2767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2768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2769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2770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2771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2772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2773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2774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2775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2776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2777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2778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2779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2780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2781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2782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2783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2784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2785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2786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2787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2788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2789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2790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2791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2792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2793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2794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2795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2796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2797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2798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2799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2800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2801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2802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2803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2804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2805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2806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2807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2808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2809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2810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2811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2812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2813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2814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2815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2816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2817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2818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2819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2820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2821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2822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2823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2824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2825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2826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2827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2828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2829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2830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2831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2832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2833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2834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2835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2836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2837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2838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2839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2840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2841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2842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2843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2844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2845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2846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2847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2848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2849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2850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2851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2852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2853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2854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2855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2856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2857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2858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2859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2860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2861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2862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2863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2864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2865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2866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2867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2868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4">
      <c r="A401" t="s">
        <v>2869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4">
      <c r="A402" t="s">
        <v>2870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4">
      <c r="A403" t="s">
        <v>2871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4">
      <c r="A404" t="s">
        <v>2872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4">
      <c r="A405" t="s">
        <v>2873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4">
      <c r="A406" t="s">
        <v>2874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4">
      <c r="A407" t="s">
        <v>2875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4">
      <c r="A408" t="s">
        <v>2876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4">
      <c r="A409" t="s">
        <v>2877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4">
      <c r="A410" t="s">
        <v>2878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4">
      <c r="A411" t="s">
        <v>2879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4">
      <c r="A412" t="s">
        <v>2880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4">
      <c r="A413" t="s">
        <v>3117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  <c r="N413" s="6">
        <v>1</v>
      </c>
    </row>
    <row r="414" spans="1:14">
      <c r="A414" t="s">
        <v>2881</v>
      </c>
      <c r="B414">
        <v>0</v>
      </c>
      <c r="C414">
        <v>2</v>
      </c>
      <c r="D414">
        <v>12</v>
      </c>
      <c r="E414">
        <v>11</v>
      </c>
      <c r="F414">
        <v>1</v>
      </c>
      <c r="G414">
        <v>1</v>
      </c>
      <c r="H414">
        <v>34</v>
      </c>
      <c r="I414">
        <v>15</v>
      </c>
      <c r="J414">
        <v>59</v>
      </c>
      <c r="K414">
        <v>42</v>
      </c>
      <c r="L414">
        <v>5</v>
      </c>
      <c r="M414">
        <v>59</v>
      </c>
      <c r="N414" s="6">
        <v>5</v>
      </c>
    </row>
    <row r="415" spans="1:14">
      <c r="A415" t="s">
        <v>2882</v>
      </c>
      <c r="B415">
        <v>0</v>
      </c>
      <c r="C415">
        <v>0</v>
      </c>
      <c r="D415">
        <v>29</v>
      </c>
      <c r="E415">
        <v>35</v>
      </c>
      <c r="F415">
        <v>0</v>
      </c>
      <c r="G415">
        <v>0</v>
      </c>
      <c r="H415">
        <v>82</v>
      </c>
      <c r="I415">
        <v>53</v>
      </c>
      <c r="J415">
        <v>40</v>
      </c>
      <c r="K415">
        <v>35</v>
      </c>
      <c r="L415">
        <v>3</v>
      </c>
      <c r="M415">
        <v>51</v>
      </c>
      <c r="N415" s="6">
        <v>5</v>
      </c>
    </row>
    <row r="416" spans="1:14">
      <c r="A416" t="s">
        <v>2883</v>
      </c>
      <c r="B416">
        <v>0</v>
      </c>
      <c r="C416">
        <v>2</v>
      </c>
      <c r="D416">
        <v>9</v>
      </c>
      <c r="E416">
        <v>8</v>
      </c>
      <c r="F416">
        <v>0</v>
      </c>
      <c r="G416">
        <v>0</v>
      </c>
      <c r="H416">
        <v>22</v>
      </c>
      <c r="I416">
        <v>13</v>
      </c>
      <c r="J416">
        <v>44</v>
      </c>
      <c r="K416">
        <v>22</v>
      </c>
      <c r="L416">
        <v>3</v>
      </c>
      <c r="M416">
        <v>28</v>
      </c>
      <c r="N416" s="6">
        <v>5</v>
      </c>
    </row>
    <row r="417" spans="1:14">
      <c r="A417" t="s">
        <v>2884</v>
      </c>
      <c r="B417">
        <v>0</v>
      </c>
      <c r="C417">
        <v>0</v>
      </c>
      <c r="D417">
        <v>7</v>
      </c>
      <c r="E417">
        <v>12</v>
      </c>
      <c r="F417">
        <v>0</v>
      </c>
      <c r="G417">
        <v>0</v>
      </c>
      <c r="H417">
        <v>22</v>
      </c>
      <c r="I417">
        <v>9</v>
      </c>
      <c r="J417">
        <v>28</v>
      </c>
      <c r="K417">
        <v>30</v>
      </c>
      <c r="L417">
        <v>1</v>
      </c>
      <c r="M417">
        <v>33</v>
      </c>
      <c r="N417" s="6">
        <v>5</v>
      </c>
    </row>
    <row r="418" spans="1:14">
      <c r="A418" t="s">
        <v>2885</v>
      </c>
      <c r="B418">
        <v>0</v>
      </c>
      <c r="C418">
        <v>1</v>
      </c>
      <c r="D418">
        <v>0</v>
      </c>
      <c r="E418">
        <v>11</v>
      </c>
      <c r="F418">
        <v>0</v>
      </c>
      <c r="G418">
        <v>0</v>
      </c>
      <c r="H418">
        <v>24</v>
      </c>
      <c r="I418">
        <v>7</v>
      </c>
      <c r="J418">
        <v>32</v>
      </c>
      <c r="K418">
        <v>37</v>
      </c>
      <c r="L418">
        <v>2</v>
      </c>
      <c r="M418">
        <v>31</v>
      </c>
      <c r="N418" s="6">
        <v>5</v>
      </c>
    </row>
    <row r="419" spans="1:14">
      <c r="A419" t="s">
        <v>2886</v>
      </c>
      <c r="B419">
        <v>3</v>
      </c>
      <c r="C419">
        <v>2</v>
      </c>
      <c r="D419">
        <v>3</v>
      </c>
      <c r="E419">
        <v>12</v>
      </c>
      <c r="F419">
        <v>2</v>
      </c>
      <c r="G419">
        <v>2</v>
      </c>
      <c r="H419">
        <v>20</v>
      </c>
      <c r="I419">
        <v>15</v>
      </c>
      <c r="J419">
        <v>51</v>
      </c>
      <c r="K419">
        <v>28</v>
      </c>
      <c r="L419">
        <v>1</v>
      </c>
      <c r="M419">
        <v>58</v>
      </c>
      <c r="N419" s="6">
        <v>5</v>
      </c>
    </row>
    <row r="420" spans="1:14">
      <c r="A420" t="s">
        <v>2887</v>
      </c>
      <c r="B420">
        <v>1</v>
      </c>
      <c r="C420">
        <v>1</v>
      </c>
      <c r="D420">
        <v>4</v>
      </c>
      <c r="E420">
        <v>9</v>
      </c>
      <c r="F420">
        <v>5</v>
      </c>
      <c r="G420">
        <v>2</v>
      </c>
      <c r="H420">
        <v>26</v>
      </c>
      <c r="I420">
        <v>10</v>
      </c>
      <c r="J420">
        <v>47</v>
      </c>
      <c r="K420">
        <v>31</v>
      </c>
      <c r="L420">
        <v>6</v>
      </c>
      <c r="M420">
        <v>45</v>
      </c>
      <c r="N420" s="6">
        <v>5</v>
      </c>
    </row>
    <row r="421" spans="1:14">
      <c r="A421" t="s">
        <v>2888</v>
      </c>
      <c r="B421">
        <v>0</v>
      </c>
      <c r="C421">
        <v>0</v>
      </c>
      <c r="D421">
        <v>15</v>
      </c>
      <c r="E421">
        <v>2</v>
      </c>
      <c r="F421">
        <v>0</v>
      </c>
      <c r="G421">
        <v>0</v>
      </c>
      <c r="H421">
        <v>26</v>
      </c>
      <c r="I421">
        <v>16</v>
      </c>
      <c r="J421">
        <v>46</v>
      </c>
      <c r="K421">
        <v>44</v>
      </c>
      <c r="L421">
        <v>2</v>
      </c>
      <c r="M421">
        <v>53</v>
      </c>
      <c r="N421" s="6">
        <v>5</v>
      </c>
    </row>
    <row r="422" spans="1:14">
      <c r="A422" t="s">
        <v>2889</v>
      </c>
      <c r="B422">
        <v>0</v>
      </c>
      <c r="C422">
        <v>0</v>
      </c>
      <c r="D422">
        <v>5</v>
      </c>
      <c r="E422">
        <v>7</v>
      </c>
      <c r="F422">
        <v>1</v>
      </c>
      <c r="G422">
        <v>1</v>
      </c>
      <c r="H422">
        <v>15</v>
      </c>
      <c r="I422">
        <v>13</v>
      </c>
      <c r="J422">
        <v>34</v>
      </c>
      <c r="K422">
        <v>19</v>
      </c>
      <c r="L422">
        <v>1</v>
      </c>
      <c r="M422">
        <v>25</v>
      </c>
      <c r="N422" s="6">
        <v>5</v>
      </c>
    </row>
    <row r="423" spans="1:14">
      <c r="A423" t="s">
        <v>2890</v>
      </c>
      <c r="B423">
        <v>0</v>
      </c>
      <c r="C423">
        <v>3</v>
      </c>
      <c r="D423">
        <v>7</v>
      </c>
      <c r="E423">
        <v>3</v>
      </c>
      <c r="F423">
        <v>2</v>
      </c>
      <c r="G423">
        <v>0</v>
      </c>
      <c r="H423">
        <v>16</v>
      </c>
      <c r="I423">
        <v>10</v>
      </c>
      <c r="J423">
        <v>33</v>
      </c>
      <c r="K423">
        <v>15</v>
      </c>
      <c r="L423">
        <v>0</v>
      </c>
      <c r="M423">
        <v>24</v>
      </c>
      <c r="N423" s="6">
        <v>5</v>
      </c>
    </row>
    <row r="424" spans="1:14">
      <c r="A424" t="s">
        <v>2891</v>
      </c>
      <c r="B424">
        <v>2</v>
      </c>
      <c r="C424">
        <v>1</v>
      </c>
      <c r="D424">
        <v>16</v>
      </c>
      <c r="E424">
        <v>0</v>
      </c>
      <c r="F424">
        <v>2</v>
      </c>
      <c r="G424">
        <v>3</v>
      </c>
      <c r="H424">
        <v>19</v>
      </c>
      <c r="I424">
        <v>7</v>
      </c>
      <c r="J424">
        <v>38</v>
      </c>
      <c r="K424">
        <v>13</v>
      </c>
      <c r="L424">
        <v>2</v>
      </c>
      <c r="M424">
        <v>17</v>
      </c>
      <c r="N424" s="6">
        <v>5</v>
      </c>
    </row>
    <row r="425" spans="1:14">
      <c r="A425" t="s">
        <v>2892</v>
      </c>
      <c r="B425">
        <v>0</v>
      </c>
      <c r="C425">
        <v>2</v>
      </c>
      <c r="D425">
        <v>4</v>
      </c>
      <c r="E425">
        <v>5</v>
      </c>
      <c r="F425">
        <v>1</v>
      </c>
      <c r="G425">
        <v>0</v>
      </c>
      <c r="H425">
        <v>17</v>
      </c>
      <c r="I425">
        <v>4</v>
      </c>
      <c r="J425">
        <v>28</v>
      </c>
      <c r="K425">
        <v>25</v>
      </c>
      <c r="L425">
        <v>1</v>
      </c>
      <c r="M425">
        <v>41</v>
      </c>
      <c r="N425" s="6">
        <v>5</v>
      </c>
    </row>
    <row r="426" spans="1:14">
      <c r="A426" t="s">
        <v>2893</v>
      </c>
      <c r="B426">
        <v>0</v>
      </c>
      <c r="C426">
        <v>1</v>
      </c>
      <c r="D426">
        <v>5</v>
      </c>
      <c r="E426">
        <v>12</v>
      </c>
      <c r="F426">
        <v>2</v>
      </c>
      <c r="G426">
        <v>2</v>
      </c>
      <c r="H426">
        <v>28</v>
      </c>
      <c r="I426">
        <v>5</v>
      </c>
      <c r="J426">
        <v>51</v>
      </c>
      <c r="K426">
        <v>34</v>
      </c>
      <c r="L426">
        <v>2</v>
      </c>
      <c r="M426">
        <v>32</v>
      </c>
      <c r="N426" s="6">
        <v>5</v>
      </c>
    </row>
    <row r="427" spans="1:14">
      <c r="A427" t="s">
        <v>2894</v>
      </c>
      <c r="B427">
        <v>0</v>
      </c>
      <c r="C427">
        <v>3</v>
      </c>
      <c r="D427">
        <v>7</v>
      </c>
      <c r="E427">
        <v>16</v>
      </c>
      <c r="F427">
        <v>3</v>
      </c>
      <c r="G427">
        <v>2</v>
      </c>
      <c r="H427">
        <v>34</v>
      </c>
      <c r="I427">
        <v>16</v>
      </c>
      <c r="J427">
        <v>44</v>
      </c>
      <c r="K427">
        <v>40</v>
      </c>
      <c r="L427">
        <v>3</v>
      </c>
      <c r="M427">
        <v>38</v>
      </c>
      <c r="N427" s="6">
        <v>5</v>
      </c>
    </row>
    <row r="428" spans="1:14">
      <c r="A428" t="s">
        <v>2895</v>
      </c>
      <c r="B428">
        <v>2</v>
      </c>
      <c r="C428">
        <v>11</v>
      </c>
      <c r="D428">
        <v>4</v>
      </c>
      <c r="E428">
        <v>5</v>
      </c>
      <c r="F428">
        <v>4</v>
      </c>
      <c r="G428">
        <v>1</v>
      </c>
      <c r="H428">
        <v>24</v>
      </c>
      <c r="I428">
        <v>24</v>
      </c>
      <c r="J428">
        <v>56</v>
      </c>
      <c r="K428">
        <v>32</v>
      </c>
      <c r="L428">
        <v>2</v>
      </c>
      <c r="M428">
        <v>60</v>
      </c>
      <c r="N428" s="6">
        <v>5</v>
      </c>
    </row>
    <row r="429" spans="1:14">
      <c r="A429" t="s">
        <v>2896</v>
      </c>
      <c r="B429">
        <v>0</v>
      </c>
      <c r="C429">
        <v>2</v>
      </c>
      <c r="D429">
        <v>14</v>
      </c>
      <c r="E429">
        <v>18</v>
      </c>
      <c r="F429">
        <v>1</v>
      </c>
      <c r="G429">
        <v>1</v>
      </c>
      <c r="H429">
        <v>34</v>
      </c>
      <c r="I429">
        <v>15</v>
      </c>
      <c r="J429">
        <v>54</v>
      </c>
      <c r="K429">
        <v>33</v>
      </c>
      <c r="L429">
        <v>2</v>
      </c>
      <c r="M429">
        <v>66</v>
      </c>
      <c r="N429" s="6">
        <v>5</v>
      </c>
    </row>
    <row r="430" spans="1:14">
      <c r="A430" t="s">
        <v>2897</v>
      </c>
      <c r="B430">
        <v>0</v>
      </c>
      <c r="C430">
        <v>0</v>
      </c>
      <c r="D430">
        <v>8</v>
      </c>
      <c r="E430">
        <v>17</v>
      </c>
      <c r="F430">
        <v>0</v>
      </c>
      <c r="G430">
        <v>0</v>
      </c>
      <c r="H430">
        <v>31</v>
      </c>
      <c r="I430">
        <v>11</v>
      </c>
      <c r="J430">
        <v>50</v>
      </c>
      <c r="K430">
        <v>22</v>
      </c>
      <c r="L430">
        <v>2</v>
      </c>
      <c r="M430">
        <v>14</v>
      </c>
      <c r="N430" s="6">
        <v>5</v>
      </c>
    </row>
    <row r="431" spans="1:14">
      <c r="A431" t="s">
        <v>2898</v>
      </c>
      <c r="B431">
        <v>0</v>
      </c>
      <c r="C431">
        <v>0</v>
      </c>
      <c r="D431">
        <v>3</v>
      </c>
      <c r="E431">
        <v>24</v>
      </c>
      <c r="F431">
        <v>0</v>
      </c>
      <c r="G431">
        <v>0</v>
      </c>
      <c r="H431">
        <v>29</v>
      </c>
      <c r="I431">
        <v>20</v>
      </c>
      <c r="J431">
        <v>56</v>
      </c>
      <c r="K431">
        <v>23</v>
      </c>
      <c r="L431">
        <v>6</v>
      </c>
      <c r="M431">
        <v>18</v>
      </c>
      <c r="N431" s="6">
        <v>5</v>
      </c>
    </row>
    <row r="432" spans="1:14">
      <c r="A432" t="s">
        <v>2899</v>
      </c>
      <c r="B432">
        <v>0</v>
      </c>
      <c r="C432">
        <v>1</v>
      </c>
      <c r="D432">
        <v>8</v>
      </c>
      <c r="E432">
        <v>13</v>
      </c>
      <c r="F432">
        <v>1</v>
      </c>
      <c r="G432">
        <v>0</v>
      </c>
      <c r="H432">
        <v>28</v>
      </c>
      <c r="I432">
        <v>13</v>
      </c>
      <c r="J432">
        <v>52</v>
      </c>
      <c r="K432">
        <v>21</v>
      </c>
      <c r="L432">
        <v>3</v>
      </c>
      <c r="M432">
        <v>24</v>
      </c>
      <c r="N432" s="6">
        <v>5</v>
      </c>
    </row>
    <row r="433" spans="1:14">
      <c r="A433" t="s">
        <v>2900</v>
      </c>
      <c r="B433">
        <v>0</v>
      </c>
      <c r="C433">
        <v>4</v>
      </c>
      <c r="D433">
        <v>6</v>
      </c>
      <c r="E433">
        <v>12</v>
      </c>
      <c r="F433">
        <v>2</v>
      </c>
      <c r="G433">
        <v>2</v>
      </c>
      <c r="H433">
        <v>32</v>
      </c>
      <c r="I433">
        <v>10</v>
      </c>
      <c r="J433">
        <v>49</v>
      </c>
      <c r="K433">
        <v>36</v>
      </c>
      <c r="L433">
        <v>2</v>
      </c>
      <c r="M433">
        <v>60</v>
      </c>
      <c r="N433" s="6">
        <v>5</v>
      </c>
    </row>
    <row r="434" spans="1:14">
      <c r="A434" t="s">
        <v>2901</v>
      </c>
      <c r="B434">
        <v>1</v>
      </c>
      <c r="C434">
        <v>2</v>
      </c>
      <c r="D434">
        <v>14</v>
      </c>
      <c r="E434">
        <v>14</v>
      </c>
      <c r="F434">
        <v>1</v>
      </c>
      <c r="G434">
        <v>2</v>
      </c>
      <c r="H434">
        <v>45</v>
      </c>
      <c r="I434">
        <v>19</v>
      </c>
      <c r="J434">
        <v>56</v>
      </c>
      <c r="K434">
        <v>51</v>
      </c>
      <c r="L434">
        <v>0</v>
      </c>
      <c r="M434">
        <v>51</v>
      </c>
      <c r="N434" s="6">
        <v>5</v>
      </c>
    </row>
    <row r="435" spans="1:14">
      <c r="A435" t="s">
        <v>2902</v>
      </c>
      <c r="B435">
        <v>0</v>
      </c>
      <c r="C435">
        <v>0</v>
      </c>
      <c r="D435">
        <v>1</v>
      </c>
      <c r="E435">
        <v>2</v>
      </c>
      <c r="F435">
        <v>0</v>
      </c>
      <c r="G435">
        <v>0</v>
      </c>
      <c r="H435">
        <v>11</v>
      </c>
      <c r="I435">
        <v>5</v>
      </c>
      <c r="J435">
        <v>20</v>
      </c>
      <c r="K435">
        <v>23</v>
      </c>
      <c r="L435">
        <v>1</v>
      </c>
      <c r="M435">
        <v>73</v>
      </c>
      <c r="N435" s="6">
        <v>5</v>
      </c>
    </row>
    <row r="436" spans="1:14">
      <c r="A436" t="s">
        <v>2903</v>
      </c>
      <c r="B436">
        <v>4</v>
      </c>
      <c r="C436">
        <v>3</v>
      </c>
      <c r="D436">
        <v>17</v>
      </c>
      <c r="E436">
        <v>29</v>
      </c>
      <c r="F436">
        <v>3</v>
      </c>
      <c r="G436">
        <v>3</v>
      </c>
      <c r="H436">
        <v>78</v>
      </c>
      <c r="I436">
        <v>14</v>
      </c>
      <c r="J436">
        <v>40</v>
      </c>
      <c r="K436">
        <v>20</v>
      </c>
      <c r="L436">
        <v>1</v>
      </c>
      <c r="M436">
        <v>40</v>
      </c>
      <c r="N436" s="6">
        <v>5</v>
      </c>
    </row>
    <row r="437" spans="1:14">
      <c r="A437" t="s">
        <v>2904</v>
      </c>
      <c r="B437">
        <v>0</v>
      </c>
      <c r="C437">
        <v>0</v>
      </c>
      <c r="D437">
        <v>4</v>
      </c>
      <c r="E437">
        <v>2</v>
      </c>
      <c r="F437">
        <v>0</v>
      </c>
      <c r="G437">
        <v>0</v>
      </c>
      <c r="H437">
        <v>6</v>
      </c>
      <c r="I437">
        <v>12</v>
      </c>
      <c r="J437">
        <v>52</v>
      </c>
      <c r="K437">
        <v>24</v>
      </c>
      <c r="L437">
        <v>2</v>
      </c>
      <c r="M437">
        <v>21</v>
      </c>
      <c r="N437" s="6">
        <v>5</v>
      </c>
    </row>
    <row r="438" spans="1:14">
      <c r="A438" t="s">
        <v>2905</v>
      </c>
      <c r="B438">
        <v>2</v>
      </c>
      <c r="C438">
        <v>3</v>
      </c>
      <c r="D438">
        <v>16</v>
      </c>
      <c r="E438">
        <v>17</v>
      </c>
      <c r="F438">
        <v>2</v>
      </c>
      <c r="G438">
        <v>0</v>
      </c>
      <c r="H438">
        <v>38</v>
      </c>
      <c r="I438">
        <v>18</v>
      </c>
      <c r="J438">
        <v>39</v>
      </c>
      <c r="K438">
        <v>21</v>
      </c>
      <c r="L438">
        <v>1</v>
      </c>
      <c r="M438">
        <v>22</v>
      </c>
      <c r="N438" s="6">
        <v>5</v>
      </c>
    </row>
    <row r="439" spans="1:14">
      <c r="A439" t="s">
        <v>2906</v>
      </c>
      <c r="B439">
        <v>1</v>
      </c>
      <c r="C439">
        <v>1</v>
      </c>
      <c r="D439">
        <v>7</v>
      </c>
      <c r="E439">
        <v>8</v>
      </c>
      <c r="F439">
        <v>1</v>
      </c>
      <c r="G439">
        <v>1</v>
      </c>
      <c r="H439">
        <v>17</v>
      </c>
      <c r="I439">
        <v>10</v>
      </c>
      <c r="J439">
        <v>47</v>
      </c>
      <c r="K439">
        <v>31</v>
      </c>
      <c r="L439">
        <v>0</v>
      </c>
      <c r="M439">
        <v>25</v>
      </c>
      <c r="N439" s="6">
        <v>5</v>
      </c>
    </row>
    <row r="440" spans="1:14">
      <c r="A440" t="s">
        <v>2907</v>
      </c>
      <c r="B440">
        <v>0</v>
      </c>
      <c r="C440">
        <v>2</v>
      </c>
      <c r="D440">
        <v>20</v>
      </c>
      <c r="E440">
        <v>24</v>
      </c>
      <c r="F440">
        <v>2</v>
      </c>
      <c r="G440">
        <v>1</v>
      </c>
      <c r="H440">
        <v>37</v>
      </c>
      <c r="I440">
        <v>20</v>
      </c>
      <c r="J440">
        <v>59</v>
      </c>
      <c r="K440">
        <v>24</v>
      </c>
      <c r="L440">
        <v>2</v>
      </c>
      <c r="M440">
        <v>43</v>
      </c>
      <c r="N440" s="6">
        <v>5</v>
      </c>
    </row>
    <row r="441" spans="1:14">
      <c r="A441" t="s">
        <v>2908</v>
      </c>
      <c r="B441">
        <v>4</v>
      </c>
      <c r="C441">
        <v>2</v>
      </c>
      <c r="D441">
        <v>11</v>
      </c>
      <c r="E441">
        <v>4</v>
      </c>
      <c r="F441">
        <v>2</v>
      </c>
      <c r="G441">
        <v>2</v>
      </c>
      <c r="H441">
        <v>27</v>
      </c>
      <c r="I441">
        <v>16</v>
      </c>
      <c r="J441">
        <v>36</v>
      </c>
      <c r="K441">
        <v>20</v>
      </c>
      <c r="L441">
        <v>1</v>
      </c>
      <c r="M441">
        <v>22</v>
      </c>
      <c r="N441" s="6">
        <v>5</v>
      </c>
    </row>
    <row r="442" spans="1:14">
      <c r="A442" t="s">
        <v>2909</v>
      </c>
      <c r="B442">
        <v>1</v>
      </c>
      <c r="C442">
        <v>1</v>
      </c>
      <c r="D442">
        <v>4</v>
      </c>
      <c r="E442">
        <v>10</v>
      </c>
      <c r="F442">
        <v>0</v>
      </c>
      <c r="G442">
        <v>1</v>
      </c>
      <c r="H442">
        <v>18</v>
      </c>
      <c r="I442">
        <v>18</v>
      </c>
      <c r="J442">
        <v>39</v>
      </c>
      <c r="K442">
        <v>12</v>
      </c>
      <c r="L442">
        <v>2</v>
      </c>
      <c r="M442">
        <v>17</v>
      </c>
      <c r="N442" s="6">
        <v>5</v>
      </c>
    </row>
    <row r="443" spans="1:14">
      <c r="A443" t="s">
        <v>2910</v>
      </c>
      <c r="B443">
        <v>0</v>
      </c>
      <c r="C443">
        <v>1</v>
      </c>
      <c r="D443">
        <v>7</v>
      </c>
      <c r="E443">
        <v>6</v>
      </c>
      <c r="F443">
        <v>2</v>
      </c>
      <c r="G443">
        <v>1</v>
      </c>
      <c r="H443">
        <v>29</v>
      </c>
      <c r="I443">
        <v>9</v>
      </c>
      <c r="J443">
        <v>55</v>
      </c>
      <c r="K443">
        <v>35</v>
      </c>
      <c r="L443">
        <v>2</v>
      </c>
      <c r="M443">
        <v>38</v>
      </c>
      <c r="N443" s="6">
        <v>5</v>
      </c>
    </row>
    <row r="444" spans="1:14">
      <c r="A444" t="s">
        <v>2911</v>
      </c>
      <c r="B444">
        <v>0</v>
      </c>
      <c r="C444">
        <v>2</v>
      </c>
      <c r="D444">
        <v>3</v>
      </c>
      <c r="E444">
        <v>19</v>
      </c>
      <c r="F444">
        <v>1</v>
      </c>
      <c r="G444">
        <v>0</v>
      </c>
      <c r="H444">
        <v>24</v>
      </c>
      <c r="I444">
        <v>17</v>
      </c>
      <c r="J444">
        <v>36</v>
      </c>
      <c r="K444">
        <v>25</v>
      </c>
      <c r="L444">
        <v>0</v>
      </c>
      <c r="M444">
        <v>36</v>
      </c>
      <c r="N444" s="6">
        <v>5</v>
      </c>
    </row>
    <row r="445" spans="1:14">
      <c r="A445" t="s">
        <v>2912</v>
      </c>
      <c r="B445">
        <v>0</v>
      </c>
      <c r="C445">
        <v>0</v>
      </c>
      <c r="D445">
        <v>4</v>
      </c>
      <c r="E445">
        <v>22</v>
      </c>
      <c r="F445">
        <v>6</v>
      </c>
      <c r="G445">
        <v>3</v>
      </c>
      <c r="H445">
        <v>39</v>
      </c>
      <c r="I445">
        <v>11</v>
      </c>
      <c r="J445">
        <v>37</v>
      </c>
      <c r="K445">
        <v>31</v>
      </c>
      <c r="L445">
        <v>4</v>
      </c>
      <c r="M445">
        <v>36</v>
      </c>
      <c r="N445" s="6">
        <v>5</v>
      </c>
    </row>
    <row r="446" spans="1:14">
      <c r="A446" t="s">
        <v>2913</v>
      </c>
      <c r="B446">
        <v>0</v>
      </c>
      <c r="C446">
        <v>0</v>
      </c>
      <c r="D446">
        <v>5</v>
      </c>
      <c r="E446">
        <v>17</v>
      </c>
      <c r="F446">
        <v>0</v>
      </c>
      <c r="G446">
        <v>1</v>
      </c>
      <c r="H446">
        <v>22</v>
      </c>
      <c r="I446">
        <v>14</v>
      </c>
      <c r="J446">
        <v>39</v>
      </c>
      <c r="K446">
        <v>25</v>
      </c>
      <c r="L446">
        <v>3</v>
      </c>
      <c r="M446">
        <v>42</v>
      </c>
      <c r="N446" s="6">
        <v>5</v>
      </c>
    </row>
    <row r="447" spans="1:14">
      <c r="A447" t="s">
        <v>2914</v>
      </c>
      <c r="B447">
        <v>0</v>
      </c>
      <c r="C447">
        <v>1</v>
      </c>
      <c r="D447">
        <v>5</v>
      </c>
      <c r="E447">
        <v>1</v>
      </c>
      <c r="F447">
        <v>0</v>
      </c>
      <c r="G447">
        <v>0</v>
      </c>
      <c r="H447">
        <v>6</v>
      </c>
      <c r="I447">
        <v>2</v>
      </c>
      <c r="J447">
        <v>7</v>
      </c>
      <c r="K447">
        <v>6</v>
      </c>
      <c r="L447">
        <v>0</v>
      </c>
      <c r="M447">
        <v>8</v>
      </c>
      <c r="N447" s="6">
        <v>5</v>
      </c>
    </row>
    <row r="448" spans="1:14">
      <c r="A448" t="s">
        <v>2915</v>
      </c>
      <c r="B448">
        <v>1</v>
      </c>
      <c r="C448">
        <v>2</v>
      </c>
      <c r="D448">
        <v>13</v>
      </c>
      <c r="E448">
        <v>17</v>
      </c>
      <c r="F448">
        <v>2</v>
      </c>
      <c r="G448">
        <v>1</v>
      </c>
      <c r="H448">
        <v>33</v>
      </c>
      <c r="I448">
        <v>12</v>
      </c>
      <c r="J448">
        <v>46</v>
      </c>
      <c r="K448">
        <v>25</v>
      </c>
      <c r="L448">
        <v>1</v>
      </c>
      <c r="M448">
        <v>34</v>
      </c>
      <c r="N448" s="6">
        <v>5</v>
      </c>
    </row>
    <row r="449" spans="1:14">
      <c r="A449" t="s">
        <v>2916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7</v>
      </c>
      <c r="I449">
        <v>6</v>
      </c>
      <c r="J449">
        <v>33</v>
      </c>
      <c r="K449">
        <v>26</v>
      </c>
      <c r="L449">
        <v>1</v>
      </c>
      <c r="M449">
        <v>45</v>
      </c>
      <c r="N449" s="6">
        <v>5</v>
      </c>
    </row>
    <row r="450" spans="1:14">
      <c r="A450" t="s">
        <v>2917</v>
      </c>
      <c r="B450">
        <v>0</v>
      </c>
      <c r="C450">
        <v>0</v>
      </c>
      <c r="D450">
        <v>6</v>
      </c>
      <c r="E450">
        <v>11</v>
      </c>
      <c r="F450">
        <v>0</v>
      </c>
      <c r="G450">
        <v>1</v>
      </c>
      <c r="H450">
        <v>23</v>
      </c>
      <c r="I450">
        <v>21</v>
      </c>
      <c r="J450">
        <v>38</v>
      </c>
      <c r="K450">
        <v>24</v>
      </c>
      <c r="L450">
        <v>12</v>
      </c>
      <c r="M450">
        <v>42</v>
      </c>
      <c r="N450" s="6">
        <v>5</v>
      </c>
    </row>
    <row r="451" spans="1:14">
      <c r="A451" t="s">
        <v>2918</v>
      </c>
      <c r="B451">
        <v>2</v>
      </c>
      <c r="C451">
        <v>1</v>
      </c>
      <c r="D451">
        <v>12</v>
      </c>
      <c r="E451">
        <v>8</v>
      </c>
      <c r="F451">
        <v>1</v>
      </c>
      <c r="G451">
        <v>1</v>
      </c>
      <c r="H451">
        <v>30</v>
      </c>
      <c r="I451">
        <v>9</v>
      </c>
      <c r="J451">
        <v>48</v>
      </c>
      <c r="K451">
        <v>31</v>
      </c>
      <c r="L451">
        <v>3</v>
      </c>
      <c r="M451">
        <v>31</v>
      </c>
      <c r="N451" s="6">
        <v>5</v>
      </c>
    </row>
    <row r="452" spans="1:14">
      <c r="A452" t="s">
        <v>2919</v>
      </c>
      <c r="B452">
        <v>0</v>
      </c>
      <c r="C452">
        <v>0</v>
      </c>
      <c r="D452">
        <v>3</v>
      </c>
      <c r="E452">
        <v>7</v>
      </c>
      <c r="F452">
        <v>0</v>
      </c>
      <c r="G452">
        <v>0</v>
      </c>
      <c r="H452">
        <v>10</v>
      </c>
      <c r="I452">
        <v>6</v>
      </c>
      <c r="J452">
        <v>22</v>
      </c>
      <c r="K452">
        <v>11</v>
      </c>
      <c r="L452">
        <v>0</v>
      </c>
      <c r="M452">
        <v>34</v>
      </c>
      <c r="N452" s="6">
        <v>5</v>
      </c>
    </row>
    <row r="453" spans="1:14">
      <c r="A453" t="s">
        <v>2920</v>
      </c>
      <c r="B453">
        <v>0</v>
      </c>
      <c r="C453">
        <v>1</v>
      </c>
      <c r="D453">
        <v>15</v>
      </c>
      <c r="E453">
        <v>19</v>
      </c>
      <c r="F453">
        <v>0</v>
      </c>
      <c r="G453">
        <v>0</v>
      </c>
      <c r="H453">
        <v>33</v>
      </c>
      <c r="I453">
        <v>21</v>
      </c>
      <c r="J453">
        <v>49</v>
      </c>
      <c r="K453">
        <v>55</v>
      </c>
      <c r="L453">
        <v>3</v>
      </c>
      <c r="M453">
        <v>44</v>
      </c>
      <c r="N453" s="6">
        <v>5</v>
      </c>
    </row>
    <row r="454" spans="1:14">
      <c r="A454" t="s">
        <v>2921</v>
      </c>
      <c r="B454">
        <v>0</v>
      </c>
      <c r="C454">
        <v>0</v>
      </c>
      <c r="D454">
        <v>17</v>
      </c>
      <c r="E454">
        <v>7</v>
      </c>
      <c r="F454">
        <v>0</v>
      </c>
      <c r="G454">
        <v>0</v>
      </c>
      <c r="H454">
        <v>24</v>
      </c>
      <c r="I454">
        <v>22</v>
      </c>
      <c r="J454">
        <v>42</v>
      </c>
      <c r="K454">
        <v>34</v>
      </c>
      <c r="L454">
        <v>1</v>
      </c>
      <c r="M454">
        <v>55</v>
      </c>
      <c r="N454" s="6">
        <v>5</v>
      </c>
    </row>
    <row r="455" spans="1:14">
      <c r="A455" t="s">
        <v>2922</v>
      </c>
      <c r="B455">
        <v>0</v>
      </c>
      <c r="C455">
        <v>0</v>
      </c>
      <c r="D455">
        <v>10</v>
      </c>
      <c r="E455">
        <v>19</v>
      </c>
      <c r="F455">
        <v>0</v>
      </c>
      <c r="G455">
        <v>0</v>
      </c>
      <c r="H455">
        <v>40</v>
      </c>
      <c r="I455">
        <v>16</v>
      </c>
      <c r="J455">
        <v>55</v>
      </c>
      <c r="K455">
        <v>36</v>
      </c>
      <c r="L455">
        <v>3</v>
      </c>
      <c r="M455">
        <v>33</v>
      </c>
      <c r="N455" s="6">
        <v>5</v>
      </c>
    </row>
    <row r="456" spans="1:14">
      <c r="A456" t="s">
        <v>2923</v>
      </c>
      <c r="B456">
        <v>1</v>
      </c>
      <c r="C456">
        <v>2</v>
      </c>
      <c r="D456">
        <v>5</v>
      </c>
      <c r="E456">
        <v>17</v>
      </c>
      <c r="F456">
        <v>2</v>
      </c>
      <c r="G456">
        <v>1</v>
      </c>
      <c r="H456">
        <v>26</v>
      </c>
      <c r="I456">
        <v>13</v>
      </c>
      <c r="J456">
        <v>45</v>
      </c>
      <c r="K456">
        <v>32</v>
      </c>
      <c r="L456">
        <v>1</v>
      </c>
      <c r="M456">
        <v>44</v>
      </c>
      <c r="N456" s="6">
        <v>5</v>
      </c>
    </row>
    <row r="457" spans="1:14">
      <c r="A457" t="s">
        <v>2924</v>
      </c>
      <c r="B457">
        <v>2</v>
      </c>
      <c r="C457">
        <v>1</v>
      </c>
      <c r="D457">
        <v>12</v>
      </c>
      <c r="E457">
        <v>11</v>
      </c>
      <c r="F457">
        <v>2</v>
      </c>
      <c r="G457">
        <v>1</v>
      </c>
      <c r="H457">
        <v>32</v>
      </c>
      <c r="I457">
        <v>22</v>
      </c>
      <c r="J457">
        <v>44</v>
      </c>
      <c r="K457">
        <v>24</v>
      </c>
      <c r="L457">
        <v>7</v>
      </c>
      <c r="M457">
        <v>34</v>
      </c>
      <c r="N457" s="6">
        <v>5</v>
      </c>
    </row>
    <row r="458" spans="1:14">
      <c r="A458" t="s">
        <v>2925</v>
      </c>
      <c r="B458">
        <v>0</v>
      </c>
      <c r="C458">
        <v>0</v>
      </c>
      <c r="D458">
        <v>5</v>
      </c>
      <c r="E458">
        <v>24</v>
      </c>
      <c r="F458">
        <v>2</v>
      </c>
      <c r="G458">
        <v>0</v>
      </c>
      <c r="H458">
        <v>37</v>
      </c>
      <c r="I458">
        <v>9</v>
      </c>
      <c r="J458">
        <v>41</v>
      </c>
      <c r="K458">
        <v>42</v>
      </c>
      <c r="L458">
        <v>8</v>
      </c>
      <c r="M458">
        <v>58</v>
      </c>
      <c r="N458" s="6">
        <v>5</v>
      </c>
    </row>
    <row r="459" spans="1:14">
      <c r="A459" t="s">
        <v>2926</v>
      </c>
      <c r="B459">
        <v>0</v>
      </c>
      <c r="C459">
        <v>1</v>
      </c>
      <c r="D459">
        <v>2</v>
      </c>
      <c r="E459">
        <v>11</v>
      </c>
      <c r="F459">
        <v>1</v>
      </c>
      <c r="G459">
        <v>1</v>
      </c>
      <c r="H459">
        <v>29</v>
      </c>
      <c r="I459">
        <v>11</v>
      </c>
      <c r="J459">
        <v>37</v>
      </c>
      <c r="K459">
        <v>27</v>
      </c>
      <c r="L459">
        <v>6</v>
      </c>
      <c r="M459">
        <v>22</v>
      </c>
      <c r="N459" s="6">
        <v>5</v>
      </c>
    </row>
    <row r="460" spans="1:14">
      <c r="A460" t="s">
        <v>2927</v>
      </c>
      <c r="B460">
        <v>2</v>
      </c>
      <c r="C460">
        <v>0</v>
      </c>
      <c r="D460">
        <v>16</v>
      </c>
      <c r="E460">
        <v>16</v>
      </c>
      <c r="F460">
        <v>2</v>
      </c>
      <c r="G460">
        <v>2</v>
      </c>
      <c r="H460">
        <v>36</v>
      </c>
      <c r="I460">
        <v>28</v>
      </c>
      <c r="J460">
        <v>40</v>
      </c>
      <c r="K460">
        <v>23</v>
      </c>
      <c r="L460">
        <v>5</v>
      </c>
      <c r="M460">
        <v>40</v>
      </c>
      <c r="N460" s="6">
        <v>5</v>
      </c>
    </row>
    <row r="461" spans="1:14">
      <c r="A461" t="s">
        <v>2928</v>
      </c>
      <c r="B461">
        <v>0</v>
      </c>
      <c r="C461">
        <v>1</v>
      </c>
      <c r="D461">
        <v>8</v>
      </c>
      <c r="E461">
        <v>8</v>
      </c>
      <c r="F461">
        <v>1</v>
      </c>
      <c r="G461">
        <v>1</v>
      </c>
      <c r="H461">
        <v>20</v>
      </c>
      <c r="I461">
        <v>10</v>
      </c>
      <c r="J461">
        <v>29</v>
      </c>
      <c r="K461">
        <v>25</v>
      </c>
      <c r="L461">
        <v>6</v>
      </c>
      <c r="M461">
        <v>29</v>
      </c>
      <c r="N461" s="6">
        <v>5</v>
      </c>
    </row>
    <row r="462" spans="1:14">
      <c r="A462" t="s">
        <v>2929</v>
      </c>
      <c r="B462">
        <v>2</v>
      </c>
      <c r="C462">
        <v>1</v>
      </c>
      <c r="D462">
        <v>10</v>
      </c>
      <c r="E462">
        <v>6</v>
      </c>
      <c r="F462">
        <v>2</v>
      </c>
      <c r="G462">
        <v>1</v>
      </c>
      <c r="H462">
        <v>17</v>
      </c>
      <c r="I462">
        <v>15</v>
      </c>
      <c r="J462">
        <v>38</v>
      </c>
      <c r="K462">
        <v>11</v>
      </c>
      <c r="L462">
        <v>4</v>
      </c>
      <c r="M462">
        <v>24</v>
      </c>
      <c r="N462" s="6">
        <v>5</v>
      </c>
    </row>
    <row r="463" spans="1:14">
      <c r="A463" t="s">
        <v>2930</v>
      </c>
      <c r="B463">
        <v>0</v>
      </c>
      <c r="C463">
        <v>0</v>
      </c>
      <c r="D463">
        <v>1</v>
      </c>
      <c r="E463">
        <v>13</v>
      </c>
      <c r="F463">
        <v>0</v>
      </c>
      <c r="G463">
        <v>0</v>
      </c>
      <c r="H463">
        <v>18</v>
      </c>
      <c r="I463">
        <v>24</v>
      </c>
      <c r="J463">
        <v>31</v>
      </c>
      <c r="K463">
        <v>7</v>
      </c>
      <c r="L463">
        <v>3</v>
      </c>
      <c r="M463">
        <v>16</v>
      </c>
      <c r="N463" s="6">
        <v>5</v>
      </c>
    </row>
    <row r="464" spans="1:14">
      <c r="A464" t="s">
        <v>2931</v>
      </c>
      <c r="B464">
        <v>0</v>
      </c>
      <c r="C464">
        <v>1</v>
      </c>
      <c r="D464">
        <v>5</v>
      </c>
      <c r="E464">
        <v>3</v>
      </c>
      <c r="F464">
        <v>1</v>
      </c>
      <c r="G464">
        <v>1</v>
      </c>
      <c r="H464">
        <v>12</v>
      </c>
      <c r="I464">
        <v>4</v>
      </c>
      <c r="J464">
        <v>32</v>
      </c>
      <c r="K464">
        <v>31</v>
      </c>
      <c r="L464">
        <v>1</v>
      </c>
      <c r="M464">
        <v>47</v>
      </c>
      <c r="N464" s="6">
        <v>5</v>
      </c>
    </row>
    <row r="465" spans="1:14">
      <c r="A465" t="s">
        <v>2932</v>
      </c>
      <c r="B465">
        <v>0</v>
      </c>
      <c r="C465">
        <v>0</v>
      </c>
      <c r="D465">
        <v>7</v>
      </c>
      <c r="E465">
        <v>16</v>
      </c>
      <c r="F465">
        <v>0</v>
      </c>
      <c r="G465">
        <v>0</v>
      </c>
      <c r="H465">
        <v>19</v>
      </c>
      <c r="I465">
        <v>19</v>
      </c>
      <c r="J465">
        <v>22</v>
      </c>
      <c r="K465">
        <v>27</v>
      </c>
      <c r="L465">
        <v>0</v>
      </c>
      <c r="M465">
        <v>22</v>
      </c>
      <c r="N465" s="6">
        <v>5</v>
      </c>
    </row>
    <row r="466" spans="1:14">
      <c r="A466" t="s">
        <v>2933</v>
      </c>
      <c r="B466">
        <v>0</v>
      </c>
      <c r="C466">
        <v>1</v>
      </c>
      <c r="D466">
        <v>0</v>
      </c>
      <c r="E466">
        <v>2</v>
      </c>
      <c r="F466">
        <v>1</v>
      </c>
      <c r="G466">
        <v>2</v>
      </c>
      <c r="H466">
        <v>4</v>
      </c>
      <c r="I466">
        <v>11</v>
      </c>
      <c r="J466">
        <v>17</v>
      </c>
      <c r="K466">
        <v>17</v>
      </c>
      <c r="L466">
        <v>0</v>
      </c>
      <c r="M466">
        <v>22</v>
      </c>
      <c r="N466" s="6">
        <v>5</v>
      </c>
    </row>
    <row r="467" spans="1:14">
      <c r="A467" t="s">
        <v>2934</v>
      </c>
      <c r="B467">
        <v>0</v>
      </c>
      <c r="C467">
        <v>1</v>
      </c>
      <c r="D467">
        <v>19</v>
      </c>
      <c r="E467">
        <v>18</v>
      </c>
      <c r="F467">
        <v>0</v>
      </c>
      <c r="G467">
        <v>0</v>
      </c>
      <c r="H467">
        <v>52</v>
      </c>
      <c r="I467">
        <v>15</v>
      </c>
      <c r="J467">
        <v>49</v>
      </c>
      <c r="K467">
        <v>52</v>
      </c>
      <c r="L467">
        <v>3</v>
      </c>
      <c r="M467">
        <v>60</v>
      </c>
      <c r="N467" s="6">
        <v>5</v>
      </c>
    </row>
    <row r="468" spans="1:14">
      <c r="A468" t="s">
        <v>2935</v>
      </c>
      <c r="B468">
        <v>0</v>
      </c>
      <c r="C468">
        <v>0</v>
      </c>
      <c r="D468">
        <v>4</v>
      </c>
      <c r="E468">
        <v>6</v>
      </c>
      <c r="F468">
        <v>0</v>
      </c>
      <c r="G468">
        <v>0</v>
      </c>
      <c r="H468">
        <v>24</v>
      </c>
      <c r="I468">
        <v>10</v>
      </c>
      <c r="J468">
        <v>27</v>
      </c>
      <c r="K468">
        <v>28</v>
      </c>
      <c r="L468">
        <v>0</v>
      </c>
      <c r="M468">
        <v>40</v>
      </c>
      <c r="N468" s="6">
        <v>5</v>
      </c>
    </row>
    <row r="469" spans="1:14">
      <c r="A469" t="s">
        <v>2936</v>
      </c>
      <c r="B469">
        <v>0</v>
      </c>
      <c r="C469">
        <v>1</v>
      </c>
      <c r="D469">
        <v>5</v>
      </c>
      <c r="E469">
        <v>2</v>
      </c>
      <c r="F469">
        <v>1</v>
      </c>
      <c r="G469">
        <v>1</v>
      </c>
      <c r="H469">
        <v>19</v>
      </c>
      <c r="I469">
        <v>4</v>
      </c>
      <c r="J469">
        <v>33</v>
      </c>
      <c r="K469">
        <v>19</v>
      </c>
      <c r="L469">
        <v>6</v>
      </c>
      <c r="M469">
        <v>48</v>
      </c>
      <c r="N469" s="6">
        <v>5</v>
      </c>
    </row>
    <row r="470" spans="1:14">
      <c r="A470" t="s">
        <v>2937</v>
      </c>
      <c r="B470">
        <v>1</v>
      </c>
      <c r="C470">
        <v>0</v>
      </c>
      <c r="D470">
        <v>18</v>
      </c>
      <c r="E470">
        <v>8</v>
      </c>
      <c r="F470">
        <v>0</v>
      </c>
      <c r="G470">
        <v>0</v>
      </c>
      <c r="H470">
        <v>47</v>
      </c>
      <c r="I470">
        <v>15</v>
      </c>
      <c r="J470">
        <v>61</v>
      </c>
      <c r="K470">
        <v>28</v>
      </c>
      <c r="L470">
        <v>2</v>
      </c>
      <c r="M470">
        <v>26</v>
      </c>
      <c r="N470" s="6">
        <v>5</v>
      </c>
    </row>
    <row r="471" spans="1:14">
      <c r="A471" t="s">
        <v>2938</v>
      </c>
      <c r="B471">
        <v>1</v>
      </c>
      <c r="C471">
        <v>9</v>
      </c>
      <c r="D471">
        <v>18</v>
      </c>
      <c r="E471">
        <v>14</v>
      </c>
      <c r="F471">
        <v>0</v>
      </c>
      <c r="G471">
        <v>0</v>
      </c>
      <c r="H471">
        <v>51</v>
      </c>
      <c r="I471">
        <v>28</v>
      </c>
      <c r="J471">
        <v>68</v>
      </c>
      <c r="K471">
        <v>37</v>
      </c>
      <c r="L471">
        <v>3</v>
      </c>
      <c r="M471">
        <v>53</v>
      </c>
      <c r="N471" s="6">
        <v>5</v>
      </c>
    </row>
    <row r="472" spans="1:14">
      <c r="A472" t="s">
        <v>2939</v>
      </c>
      <c r="B472">
        <v>0</v>
      </c>
      <c r="C472">
        <v>0</v>
      </c>
      <c r="D472">
        <v>6</v>
      </c>
      <c r="E472">
        <v>27</v>
      </c>
      <c r="F472">
        <v>0</v>
      </c>
      <c r="G472">
        <v>0</v>
      </c>
      <c r="H472">
        <v>35</v>
      </c>
      <c r="I472">
        <v>18</v>
      </c>
      <c r="J472">
        <v>60</v>
      </c>
      <c r="K472">
        <v>32</v>
      </c>
      <c r="L472">
        <v>4</v>
      </c>
      <c r="M472">
        <v>53</v>
      </c>
      <c r="N472" s="6">
        <v>5</v>
      </c>
    </row>
    <row r="473" spans="1:14">
      <c r="A473" t="s">
        <v>2940</v>
      </c>
      <c r="B473">
        <v>0</v>
      </c>
      <c r="C473">
        <v>0</v>
      </c>
      <c r="D473">
        <v>6</v>
      </c>
      <c r="E473">
        <v>1</v>
      </c>
      <c r="F473">
        <v>0</v>
      </c>
      <c r="G473">
        <v>0</v>
      </c>
      <c r="H473">
        <v>14</v>
      </c>
      <c r="I473">
        <v>10</v>
      </c>
      <c r="J473">
        <v>24</v>
      </c>
      <c r="K473">
        <v>28</v>
      </c>
      <c r="L473">
        <v>0</v>
      </c>
      <c r="M473">
        <v>85</v>
      </c>
      <c r="N473" s="6">
        <v>5</v>
      </c>
    </row>
    <row r="474" spans="1:14">
      <c r="A474" t="s">
        <v>2941</v>
      </c>
      <c r="B474">
        <v>0</v>
      </c>
      <c r="C474">
        <v>2</v>
      </c>
      <c r="D474">
        <v>10</v>
      </c>
      <c r="E474">
        <v>16</v>
      </c>
      <c r="F474">
        <v>0</v>
      </c>
      <c r="G474">
        <v>0</v>
      </c>
      <c r="H474">
        <v>28</v>
      </c>
      <c r="I474">
        <v>11</v>
      </c>
      <c r="J474">
        <v>48</v>
      </c>
      <c r="K474">
        <v>18</v>
      </c>
      <c r="L474">
        <v>3</v>
      </c>
      <c r="M474">
        <v>24</v>
      </c>
      <c r="N474" s="6">
        <v>5</v>
      </c>
    </row>
    <row r="475" spans="1:14">
      <c r="A475" t="s">
        <v>2942</v>
      </c>
      <c r="B475">
        <v>0</v>
      </c>
      <c r="C475">
        <v>1</v>
      </c>
      <c r="D475">
        <v>25</v>
      </c>
      <c r="E475">
        <v>12</v>
      </c>
      <c r="F475">
        <v>0</v>
      </c>
      <c r="G475">
        <v>0</v>
      </c>
      <c r="H475">
        <v>53</v>
      </c>
      <c r="I475">
        <v>22</v>
      </c>
      <c r="J475">
        <v>70</v>
      </c>
      <c r="K475">
        <v>42</v>
      </c>
      <c r="L475">
        <v>6</v>
      </c>
      <c r="M475">
        <v>59</v>
      </c>
      <c r="N475" s="6">
        <v>5</v>
      </c>
    </row>
    <row r="476" spans="1:14">
      <c r="A476" t="s">
        <v>2943</v>
      </c>
      <c r="B476">
        <v>1</v>
      </c>
      <c r="C476">
        <v>0</v>
      </c>
      <c r="D476">
        <v>9</v>
      </c>
      <c r="E476">
        <v>15</v>
      </c>
      <c r="F476">
        <v>1</v>
      </c>
      <c r="G476">
        <v>1</v>
      </c>
      <c r="H476">
        <v>48</v>
      </c>
      <c r="I476">
        <v>14</v>
      </c>
      <c r="J476">
        <v>36</v>
      </c>
      <c r="K476">
        <v>32</v>
      </c>
      <c r="L476">
        <v>5</v>
      </c>
      <c r="M476">
        <v>65</v>
      </c>
      <c r="N476" s="6">
        <v>5</v>
      </c>
    </row>
    <row r="477" spans="1:14">
      <c r="A477" t="s">
        <v>2944</v>
      </c>
      <c r="B477">
        <v>0</v>
      </c>
      <c r="C477">
        <v>1</v>
      </c>
      <c r="D477">
        <v>6</v>
      </c>
      <c r="E477">
        <v>9</v>
      </c>
      <c r="F477">
        <v>0</v>
      </c>
      <c r="G477">
        <v>0</v>
      </c>
      <c r="H477">
        <v>16</v>
      </c>
      <c r="I477">
        <v>10</v>
      </c>
      <c r="J477">
        <v>28</v>
      </c>
      <c r="K477">
        <v>16</v>
      </c>
      <c r="L477">
        <v>2</v>
      </c>
      <c r="M477">
        <v>49</v>
      </c>
      <c r="N477" s="6">
        <v>5</v>
      </c>
    </row>
    <row r="478" spans="1:14">
      <c r="A478" t="s">
        <v>2945</v>
      </c>
      <c r="B478">
        <v>3</v>
      </c>
      <c r="C478">
        <v>0</v>
      </c>
      <c r="D478">
        <v>19</v>
      </c>
      <c r="E478">
        <v>6</v>
      </c>
      <c r="F478">
        <v>2</v>
      </c>
      <c r="G478">
        <v>0</v>
      </c>
      <c r="H478">
        <v>32</v>
      </c>
      <c r="I478">
        <v>23</v>
      </c>
      <c r="J478">
        <v>50</v>
      </c>
      <c r="K478">
        <v>31</v>
      </c>
      <c r="L478">
        <v>9</v>
      </c>
      <c r="M478">
        <v>47</v>
      </c>
      <c r="N478" s="6">
        <v>5</v>
      </c>
    </row>
    <row r="479" spans="1:14">
      <c r="A479" t="s">
        <v>2946</v>
      </c>
      <c r="B479">
        <v>2</v>
      </c>
      <c r="C479">
        <v>3</v>
      </c>
      <c r="D479">
        <v>6</v>
      </c>
      <c r="E479">
        <v>22</v>
      </c>
      <c r="F479">
        <v>2</v>
      </c>
      <c r="G479">
        <v>2</v>
      </c>
      <c r="H479">
        <v>47</v>
      </c>
      <c r="I479">
        <v>21</v>
      </c>
      <c r="J479">
        <v>57</v>
      </c>
      <c r="K479">
        <v>35</v>
      </c>
      <c r="L479">
        <v>3</v>
      </c>
      <c r="M479">
        <v>94</v>
      </c>
      <c r="N479" s="6">
        <v>5</v>
      </c>
    </row>
    <row r="480" spans="1:14">
      <c r="A480" t="s">
        <v>2947</v>
      </c>
      <c r="B480">
        <v>1</v>
      </c>
      <c r="C480">
        <v>0</v>
      </c>
      <c r="D480">
        <v>2</v>
      </c>
      <c r="E480">
        <v>15</v>
      </c>
      <c r="F480">
        <v>1</v>
      </c>
      <c r="G480">
        <v>1</v>
      </c>
      <c r="H480">
        <v>18</v>
      </c>
      <c r="I480">
        <v>17</v>
      </c>
      <c r="J480">
        <v>39</v>
      </c>
      <c r="K480">
        <v>15</v>
      </c>
      <c r="L480">
        <v>0</v>
      </c>
      <c r="M480">
        <v>21</v>
      </c>
      <c r="N480" s="6">
        <v>5</v>
      </c>
    </row>
    <row r="481" spans="1:14">
      <c r="A481" t="s">
        <v>2948</v>
      </c>
      <c r="B481">
        <v>0</v>
      </c>
      <c r="C481">
        <v>4</v>
      </c>
      <c r="D481">
        <v>7</v>
      </c>
      <c r="E481">
        <v>18</v>
      </c>
      <c r="F481">
        <v>2</v>
      </c>
      <c r="G481">
        <v>0</v>
      </c>
      <c r="H481">
        <v>35</v>
      </c>
      <c r="I481">
        <v>18</v>
      </c>
      <c r="J481">
        <v>53</v>
      </c>
      <c r="K481">
        <v>35</v>
      </c>
      <c r="L481">
        <v>0</v>
      </c>
      <c r="M481">
        <v>39</v>
      </c>
      <c r="N481" s="6">
        <v>5</v>
      </c>
    </row>
    <row r="482" spans="1:14">
      <c r="A482" t="s">
        <v>2949</v>
      </c>
      <c r="B482">
        <v>0</v>
      </c>
      <c r="C482">
        <v>0</v>
      </c>
      <c r="D482">
        <v>5</v>
      </c>
      <c r="E482">
        <v>10</v>
      </c>
      <c r="F482">
        <v>0</v>
      </c>
      <c r="G482">
        <v>0</v>
      </c>
      <c r="H482">
        <v>20</v>
      </c>
      <c r="I482">
        <v>8</v>
      </c>
      <c r="J482">
        <v>36</v>
      </c>
      <c r="K482">
        <v>25</v>
      </c>
      <c r="L482">
        <v>1</v>
      </c>
      <c r="M482">
        <v>46</v>
      </c>
      <c r="N482" s="6">
        <v>5</v>
      </c>
    </row>
    <row r="483" spans="1:14">
      <c r="A483" t="s">
        <v>2950</v>
      </c>
      <c r="B483">
        <v>0</v>
      </c>
      <c r="C483">
        <v>0</v>
      </c>
      <c r="D483">
        <v>4</v>
      </c>
      <c r="E483">
        <v>8</v>
      </c>
      <c r="F483">
        <v>0</v>
      </c>
      <c r="G483">
        <v>0</v>
      </c>
      <c r="H483">
        <v>27</v>
      </c>
      <c r="I483">
        <v>16</v>
      </c>
      <c r="J483">
        <v>25</v>
      </c>
      <c r="K483">
        <v>15</v>
      </c>
      <c r="L483">
        <v>3</v>
      </c>
      <c r="M483">
        <v>22</v>
      </c>
      <c r="N483" s="6">
        <v>5</v>
      </c>
    </row>
    <row r="484" spans="1:14">
      <c r="A484" t="s">
        <v>2951</v>
      </c>
      <c r="B484">
        <v>0</v>
      </c>
      <c r="C484">
        <v>4</v>
      </c>
      <c r="D484">
        <v>5</v>
      </c>
      <c r="E484">
        <v>4</v>
      </c>
      <c r="F484">
        <v>1</v>
      </c>
      <c r="G484">
        <v>1</v>
      </c>
      <c r="H484">
        <v>13</v>
      </c>
      <c r="I484">
        <v>9</v>
      </c>
      <c r="J484">
        <v>23</v>
      </c>
      <c r="K484">
        <v>21</v>
      </c>
      <c r="L484">
        <v>5</v>
      </c>
      <c r="M484">
        <v>29</v>
      </c>
      <c r="N484" s="6">
        <v>5</v>
      </c>
    </row>
    <row r="485" spans="1:14">
      <c r="A485" t="s">
        <v>2952</v>
      </c>
      <c r="B485">
        <v>0</v>
      </c>
      <c r="C485">
        <v>2</v>
      </c>
      <c r="D485">
        <v>7</v>
      </c>
      <c r="E485">
        <v>17</v>
      </c>
      <c r="F485">
        <v>2</v>
      </c>
      <c r="G485">
        <v>0</v>
      </c>
      <c r="H485">
        <v>30</v>
      </c>
      <c r="I485">
        <v>12</v>
      </c>
      <c r="J485">
        <v>44</v>
      </c>
      <c r="K485">
        <v>30</v>
      </c>
      <c r="L485">
        <v>3</v>
      </c>
      <c r="M485">
        <v>39</v>
      </c>
      <c r="N485" s="6">
        <v>5</v>
      </c>
    </row>
    <row r="486" spans="1:14">
      <c r="A486" t="s">
        <v>2953</v>
      </c>
      <c r="B486">
        <v>4</v>
      </c>
      <c r="C486">
        <v>0</v>
      </c>
      <c r="D486">
        <v>4</v>
      </c>
      <c r="E486">
        <v>17</v>
      </c>
      <c r="F486">
        <v>2</v>
      </c>
      <c r="G486">
        <v>1</v>
      </c>
      <c r="H486">
        <v>28</v>
      </c>
      <c r="I486">
        <v>18</v>
      </c>
      <c r="J486">
        <v>50</v>
      </c>
      <c r="K486">
        <v>24</v>
      </c>
      <c r="L486">
        <v>1</v>
      </c>
      <c r="M486">
        <v>40</v>
      </c>
      <c r="N486" s="6">
        <v>6</v>
      </c>
    </row>
    <row r="487" spans="1:14">
      <c r="A487" t="s">
        <v>2954</v>
      </c>
      <c r="B487">
        <v>2</v>
      </c>
      <c r="C487">
        <v>1</v>
      </c>
      <c r="D487">
        <v>10</v>
      </c>
      <c r="E487">
        <v>19</v>
      </c>
      <c r="F487">
        <v>3</v>
      </c>
      <c r="G487">
        <v>0</v>
      </c>
      <c r="H487">
        <v>45</v>
      </c>
      <c r="I487">
        <v>11</v>
      </c>
      <c r="J487">
        <v>47</v>
      </c>
      <c r="K487">
        <v>34</v>
      </c>
      <c r="L487">
        <v>3</v>
      </c>
      <c r="M487">
        <v>40</v>
      </c>
      <c r="N487" s="6">
        <v>5</v>
      </c>
    </row>
    <row r="488" spans="1:14">
      <c r="A488" t="s">
        <v>2955</v>
      </c>
      <c r="B488">
        <v>0</v>
      </c>
      <c r="C488">
        <v>3</v>
      </c>
      <c r="D488">
        <v>13</v>
      </c>
      <c r="E488">
        <v>14</v>
      </c>
      <c r="F488">
        <v>0</v>
      </c>
      <c r="G488">
        <v>0</v>
      </c>
      <c r="H488">
        <v>31</v>
      </c>
      <c r="I488">
        <v>12</v>
      </c>
      <c r="J488">
        <v>42</v>
      </c>
      <c r="K488">
        <v>35</v>
      </c>
      <c r="L488">
        <v>5</v>
      </c>
      <c r="M488">
        <v>80</v>
      </c>
      <c r="N488" s="6">
        <v>5</v>
      </c>
    </row>
    <row r="489" spans="1:14">
      <c r="A489" t="s">
        <v>2956</v>
      </c>
      <c r="B489">
        <v>1</v>
      </c>
      <c r="C489">
        <v>0</v>
      </c>
      <c r="D489">
        <v>14</v>
      </c>
      <c r="E489">
        <v>7</v>
      </c>
      <c r="F489">
        <v>1</v>
      </c>
      <c r="G489">
        <v>1</v>
      </c>
      <c r="H489">
        <v>25</v>
      </c>
      <c r="I489">
        <v>10</v>
      </c>
      <c r="J489">
        <v>35</v>
      </c>
      <c r="K489">
        <v>25</v>
      </c>
      <c r="L489">
        <v>2</v>
      </c>
      <c r="M489">
        <v>60</v>
      </c>
      <c r="N489" s="6">
        <v>5</v>
      </c>
    </row>
    <row r="490" spans="1:14">
      <c r="A490" t="s">
        <v>2957</v>
      </c>
      <c r="B490">
        <v>0</v>
      </c>
      <c r="C490">
        <v>2</v>
      </c>
      <c r="D490">
        <v>2</v>
      </c>
      <c r="E490">
        <v>10</v>
      </c>
      <c r="F490">
        <v>1</v>
      </c>
      <c r="G490">
        <v>0</v>
      </c>
      <c r="H490">
        <v>18</v>
      </c>
      <c r="I490">
        <v>14</v>
      </c>
      <c r="J490">
        <v>45</v>
      </c>
      <c r="K490">
        <v>14</v>
      </c>
      <c r="L490">
        <v>0</v>
      </c>
      <c r="M490">
        <v>24</v>
      </c>
      <c r="N490" s="6">
        <v>5</v>
      </c>
    </row>
    <row r="491" spans="1:14">
      <c r="A491" t="s">
        <v>2958</v>
      </c>
      <c r="B491">
        <v>0</v>
      </c>
      <c r="C491">
        <v>0</v>
      </c>
      <c r="D491">
        <v>10</v>
      </c>
      <c r="E491">
        <v>10</v>
      </c>
      <c r="F491">
        <v>1</v>
      </c>
      <c r="G491">
        <v>0</v>
      </c>
      <c r="H491">
        <v>23</v>
      </c>
      <c r="I491">
        <v>11</v>
      </c>
      <c r="J491">
        <v>34</v>
      </c>
      <c r="K491">
        <v>15</v>
      </c>
      <c r="L491">
        <v>0</v>
      </c>
      <c r="M491">
        <v>48</v>
      </c>
      <c r="N491" s="6">
        <v>5</v>
      </c>
    </row>
    <row r="492" spans="1:14">
      <c r="A492" t="s">
        <v>2959</v>
      </c>
      <c r="B492">
        <v>0</v>
      </c>
      <c r="C492">
        <v>3</v>
      </c>
      <c r="D492">
        <v>26</v>
      </c>
      <c r="E492">
        <v>9</v>
      </c>
      <c r="F492">
        <v>2</v>
      </c>
      <c r="G492">
        <v>0</v>
      </c>
      <c r="H492">
        <v>42</v>
      </c>
      <c r="I492">
        <v>9</v>
      </c>
      <c r="J492">
        <v>46</v>
      </c>
      <c r="K492">
        <v>24</v>
      </c>
      <c r="L492">
        <v>0</v>
      </c>
      <c r="M492">
        <v>37</v>
      </c>
      <c r="N492" s="6">
        <v>5</v>
      </c>
    </row>
    <row r="493" spans="1:14">
      <c r="A493" t="s">
        <v>2960</v>
      </c>
      <c r="B493">
        <v>0</v>
      </c>
      <c r="C493">
        <v>1</v>
      </c>
      <c r="D493">
        <v>12</v>
      </c>
      <c r="E493">
        <v>4</v>
      </c>
      <c r="F493">
        <v>2</v>
      </c>
      <c r="G493">
        <v>0</v>
      </c>
      <c r="H493">
        <v>27</v>
      </c>
      <c r="I493">
        <v>14</v>
      </c>
      <c r="J493">
        <v>43</v>
      </c>
      <c r="K493">
        <v>26</v>
      </c>
      <c r="L493">
        <v>3</v>
      </c>
      <c r="M493">
        <v>51</v>
      </c>
      <c r="N493" s="6">
        <v>5</v>
      </c>
    </row>
    <row r="494" spans="1:14">
      <c r="A494" t="s">
        <v>2961</v>
      </c>
      <c r="B494">
        <v>0</v>
      </c>
      <c r="C494">
        <v>5</v>
      </c>
      <c r="D494">
        <v>16</v>
      </c>
      <c r="E494">
        <v>23</v>
      </c>
      <c r="F494">
        <v>0</v>
      </c>
      <c r="G494">
        <v>0</v>
      </c>
      <c r="H494">
        <v>69</v>
      </c>
      <c r="I494">
        <v>13</v>
      </c>
      <c r="J494">
        <v>52</v>
      </c>
      <c r="K494">
        <v>57</v>
      </c>
      <c r="L494">
        <v>8</v>
      </c>
      <c r="M494">
        <v>65</v>
      </c>
      <c r="N494" s="6">
        <v>5</v>
      </c>
    </row>
    <row r="495" spans="1:14">
      <c r="A495" t="s">
        <v>2962</v>
      </c>
      <c r="B495">
        <v>0</v>
      </c>
      <c r="C495">
        <v>1</v>
      </c>
      <c r="D495">
        <v>6</v>
      </c>
      <c r="E495">
        <v>5</v>
      </c>
      <c r="F495">
        <v>1</v>
      </c>
      <c r="G495">
        <v>0</v>
      </c>
      <c r="H495">
        <v>20</v>
      </c>
      <c r="I495">
        <v>4</v>
      </c>
      <c r="J495">
        <v>23</v>
      </c>
      <c r="K495">
        <v>26</v>
      </c>
      <c r="L495">
        <v>1</v>
      </c>
      <c r="M495">
        <v>56</v>
      </c>
      <c r="N495" s="6">
        <v>5</v>
      </c>
    </row>
    <row r="496" spans="1:14">
      <c r="A496" t="s">
        <v>2963</v>
      </c>
      <c r="B496">
        <v>0</v>
      </c>
      <c r="C496">
        <v>0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12</v>
      </c>
      <c r="J496">
        <v>33</v>
      </c>
      <c r="K496">
        <v>24</v>
      </c>
      <c r="L496">
        <v>1</v>
      </c>
      <c r="M496">
        <v>30</v>
      </c>
      <c r="N496" s="6">
        <v>5</v>
      </c>
    </row>
    <row r="497" spans="1:14">
      <c r="A497" t="s">
        <v>2964</v>
      </c>
      <c r="B497">
        <v>0</v>
      </c>
      <c r="C497">
        <v>1</v>
      </c>
      <c r="D497">
        <v>5</v>
      </c>
      <c r="E497">
        <v>9</v>
      </c>
      <c r="F497">
        <v>3</v>
      </c>
      <c r="G497">
        <v>2</v>
      </c>
      <c r="H497">
        <v>39</v>
      </c>
      <c r="I497">
        <v>10</v>
      </c>
      <c r="J497">
        <v>29</v>
      </c>
      <c r="K497">
        <v>22</v>
      </c>
      <c r="L497">
        <v>1</v>
      </c>
      <c r="M497">
        <v>18</v>
      </c>
      <c r="N497" s="6">
        <v>5</v>
      </c>
    </row>
    <row r="498" spans="1:14">
      <c r="A498" t="s">
        <v>2965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20</v>
      </c>
      <c r="I498">
        <v>5</v>
      </c>
      <c r="J498">
        <v>36</v>
      </c>
      <c r="K498">
        <v>17</v>
      </c>
      <c r="L498">
        <v>2</v>
      </c>
      <c r="M498">
        <v>12</v>
      </c>
      <c r="N498" s="6">
        <v>5</v>
      </c>
    </row>
    <row r="499" spans="1:14">
      <c r="A499" t="s">
        <v>2966</v>
      </c>
      <c r="B499">
        <v>0</v>
      </c>
      <c r="C499">
        <v>1</v>
      </c>
      <c r="D499">
        <v>3</v>
      </c>
      <c r="E499">
        <v>12</v>
      </c>
      <c r="F499">
        <v>1</v>
      </c>
      <c r="G499">
        <v>1</v>
      </c>
      <c r="H499">
        <v>32</v>
      </c>
      <c r="I499">
        <v>3</v>
      </c>
      <c r="J499">
        <v>41</v>
      </c>
      <c r="K499">
        <v>23</v>
      </c>
      <c r="L499">
        <v>2</v>
      </c>
      <c r="M499">
        <v>26</v>
      </c>
      <c r="N499" s="6">
        <v>5</v>
      </c>
    </row>
    <row r="500" spans="1:14">
      <c r="A500" t="s">
        <v>2967</v>
      </c>
      <c r="B500">
        <v>0</v>
      </c>
      <c r="C500">
        <v>0</v>
      </c>
      <c r="D500">
        <v>3</v>
      </c>
      <c r="E500">
        <v>21</v>
      </c>
      <c r="F500">
        <v>0</v>
      </c>
      <c r="G500">
        <v>0</v>
      </c>
      <c r="H500">
        <v>36</v>
      </c>
      <c r="I500">
        <v>5</v>
      </c>
      <c r="J500">
        <v>31</v>
      </c>
      <c r="K500">
        <v>31</v>
      </c>
      <c r="L500">
        <v>0</v>
      </c>
      <c r="M500">
        <v>59</v>
      </c>
      <c r="N500" s="6">
        <v>5</v>
      </c>
    </row>
    <row r="501" spans="1:14">
      <c r="A501" t="s">
        <v>2968</v>
      </c>
      <c r="B501">
        <v>0</v>
      </c>
      <c r="C501">
        <v>4</v>
      </c>
      <c r="D501">
        <v>17</v>
      </c>
      <c r="E501">
        <v>26</v>
      </c>
      <c r="F501">
        <v>1</v>
      </c>
      <c r="G501">
        <v>1</v>
      </c>
      <c r="H501">
        <v>49</v>
      </c>
      <c r="I501">
        <v>29</v>
      </c>
      <c r="J501">
        <v>51</v>
      </c>
      <c r="K501">
        <v>25</v>
      </c>
      <c r="L501">
        <v>1</v>
      </c>
      <c r="M501">
        <v>39</v>
      </c>
      <c r="N501" s="6">
        <v>5</v>
      </c>
    </row>
    <row r="502" spans="1:14">
      <c r="A502" t="s">
        <v>2969</v>
      </c>
      <c r="B502">
        <v>0</v>
      </c>
      <c r="C502">
        <v>2</v>
      </c>
      <c r="D502">
        <v>7</v>
      </c>
      <c r="E502">
        <v>8</v>
      </c>
      <c r="F502">
        <v>0</v>
      </c>
      <c r="G502">
        <v>0</v>
      </c>
      <c r="H502">
        <v>24</v>
      </c>
      <c r="I502">
        <v>10</v>
      </c>
      <c r="J502">
        <v>39</v>
      </c>
      <c r="K502">
        <v>28</v>
      </c>
      <c r="L502">
        <v>2</v>
      </c>
      <c r="M502">
        <v>40</v>
      </c>
      <c r="N502" s="6">
        <v>5</v>
      </c>
    </row>
    <row r="503" spans="1:14">
      <c r="A503" t="s">
        <v>2970</v>
      </c>
      <c r="B503">
        <v>0</v>
      </c>
      <c r="C503">
        <v>0</v>
      </c>
      <c r="D503">
        <v>2</v>
      </c>
      <c r="E503">
        <v>14</v>
      </c>
      <c r="F503">
        <v>0</v>
      </c>
      <c r="G503">
        <v>1</v>
      </c>
      <c r="H503">
        <v>16</v>
      </c>
      <c r="I503">
        <v>3</v>
      </c>
      <c r="J503">
        <v>26</v>
      </c>
      <c r="K503">
        <v>33</v>
      </c>
      <c r="L503">
        <v>0</v>
      </c>
      <c r="M503">
        <v>49</v>
      </c>
      <c r="N503" s="6">
        <v>5</v>
      </c>
    </row>
    <row r="504" spans="1:14">
      <c r="A504" t="s">
        <v>2971</v>
      </c>
      <c r="B504">
        <v>0</v>
      </c>
      <c r="C504">
        <v>1</v>
      </c>
      <c r="D504">
        <v>12</v>
      </c>
      <c r="E504">
        <v>3</v>
      </c>
      <c r="F504">
        <v>1</v>
      </c>
      <c r="G504">
        <v>0</v>
      </c>
      <c r="H504">
        <v>29</v>
      </c>
      <c r="I504">
        <v>6</v>
      </c>
      <c r="J504">
        <v>24</v>
      </c>
      <c r="K504">
        <v>33</v>
      </c>
      <c r="L504">
        <v>4</v>
      </c>
      <c r="M504">
        <v>41</v>
      </c>
      <c r="N504" s="6">
        <v>5</v>
      </c>
    </row>
    <row r="505" spans="1:14">
      <c r="A505" t="s">
        <v>2972</v>
      </c>
      <c r="B505">
        <v>0</v>
      </c>
      <c r="C505">
        <v>0</v>
      </c>
      <c r="D505">
        <v>11</v>
      </c>
      <c r="E505">
        <v>0</v>
      </c>
      <c r="F505">
        <v>2</v>
      </c>
      <c r="G505">
        <v>0</v>
      </c>
      <c r="H505">
        <v>15</v>
      </c>
      <c r="I505">
        <v>10</v>
      </c>
      <c r="J505">
        <v>32</v>
      </c>
      <c r="K505">
        <v>22</v>
      </c>
      <c r="L505">
        <v>1</v>
      </c>
      <c r="M505">
        <v>29</v>
      </c>
      <c r="N505" s="6">
        <v>6</v>
      </c>
    </row>
    <row r="506" spans="1:14">
      <c r="A506" t="s">
        <v>2973</v>
      </c>
      <c r="B506">
        <v>0</v>
      </c>
      <c r="C506">
        <v>0</v>
      </c>
      <c r="D506">
        <v>7</v>
      </c>
      <c r="E506">
        <v>5</v>
      </c>
      <c r="F506">
        <v>1</v>
      </c>
      <c r="G506">
        <v>1</v>
      </c>
      <c r="H506">
        <v>19</v>
      </c>
      <c r="I506">
        <v>10</v>
      </c>
      <c r="J506">
        <v>42</v>
      </c>
      <c r="K506">
        <v>30</v>
      </c>
      <c r="L506">
        <v>1</v>
      </c>
      <c r="M506">
        <v>14</v>
      </c>
      <c r="N506" s="6">
        <v>5</v>
      </c>
    </row>
    <row r="507" spans="1:14">
      <c r="A507" t="s">
        <v>2974</v>
      </c>
      <c r="B507">
        <v>0</v>
      </c>
      <c r="C507">
        <v>0</v>
      </c>
      <c r="D507">
        <v>19</v>
      </c>
      <c r="E507">
        <v>5</v>
      </c>
      <c r="F507">
        <v>0</v>
      </c>
      <c r="G507">
        <v>0</v>
      </c>
      <c r="H507">
        <v>27</v>
      </c>
      <c r="I507">
        <v>13</v>
      </c>
      <c r="J507">
        <v>38</v>
      </c>
      <c r="K507">
        <v>22</v>
      </c>
      <c r="L507">
        <v>0</v>
      </c>
      <c r="M507">
        <v>56</v>
      </c>
      <c r="N507" s="6">
        <v>5</v>
      </c>
    </row>
    <row r="508" spans="1:14">
      <c r="A508" s="6" t="s">
        <v>2975</v>
      </c>
      <c r="B508" s="6">
        <v>2</v>
      </c>
      <c r="C508" s="6">
        <v>9</v>
      </c>
      <c r="D508" s="6">
        <v>25</v>
      </c>
      <c r="E508" s="6">
        <v>4</v>
      </c>
      <c r="F508" s="6">
        <v>6</v>
      </c>
      <c r="G508" s="6">
        <v>3</v>
      </c>
      <c r="H508" s="6">
        <v>54</v>
      </c>
      <c r="I508" s="6">
        <v>28</v>
      </c>
      <c r="J508" s="6">
        <v>59</v>
      </c>
      <c r="K508" s="6">
        <v>27</v>
      </c>
      <c r="L508" s="6">
        <v>3</v>
      </c>
      <c r="M508" s="6">
        <v>36</v>
      </c>
      <c r="N508" s="6">
        <v>5</v>
      </c>
    </row>
    <row r="509" spans="1:14">
      <c r="A509" s="6" t="s">
        <v>2976</v>
      </c>
      <c r="B509" s="6">
        <v>2</v>
      </c>
      <c r="C509" s="6">
        <v>5</v>
      </c>
      <c r="D509" s="6">
        <v>19</v>
      </c>
      <c r="E509" s="6">
        <v>8</v>
      </c>
      <c r="F509" s="6">
        <v>4</v>
      </c>
      <c r="G509" s="6">
        <v>3</v>
      </c>
      <c r="H509" s="6">
        <v>36</v>
      </c>
      <c r="I509" s="6">
        <v>13</v>
      </c>
      <c r="J509" s="6">
        <v>42</v>
      </c>
      <c r="K509" s="6">
        <v>28</v>
      </c>
      <c r="L509" s="6">
        <v>1</v>
      </c>
      <c r="M509" s="6">
        <v>36</v>
      </c>
      <c r="N509" s="6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6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19.42578125" bestFit="1" customWidth="1"/>
    <col min="3" max="8" width="2" bestFit="1" customWidth="1"/>
  </cols>
  <sheetData>
    <row r="1" spans="1:8">
      <c r="B1" t="s">
        <v>1592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2574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2578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2584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2587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2588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2591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2593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2595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2606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2977</v>
      </c>
      <c r="B11" t="s">
        <v>2978</v>
      </c>
      <c r="C11">
        <v>1</v>
      </c>
    </row>
    <row r="12" spans="1:8">
      <c r="A12" t="s">
        <v>2622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2634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2979</v>
      </c>
      <c r="B14" t="s">
        <v>2980</v>
      </c>
      <c r="C14">
        <v>1</v>
      </c>
    </row>
    <row r="15" spans="1:8">
      <c r="A15" t="s">
        <v>2637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2646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2650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2655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2981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2669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2676</v>
      </c>
      <c r="B22" t="s">
        <v>2141</v>
      </c>
      <c r="C22">
        <v>1</v>
      </c>
    </row>
    <row r="23" spans="1:8">
      <c r="A23" t="s">
        <v>2677</v>
      </c>
    </row>
    <row r="24" spans="1:8">
      <c r="A24" t="s">
        <v>2678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2684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2686</v>
      </c>
      <c r="B26" t="s">
        <v>2140</v>
      </c>
      <c r="C26">
        <v>1</v>
      </c>
    </row>
    <row r="27" spans="1:8">
      <c r="A27" t="s">
        <v>2689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2982</v>
      </c>
      <c r="B28" t="s">
        <v>2983</v>
      </c>
      <c r="G28">
        <v>1</v>
      </c>
    </row>
    <row r="29" spans="1:8">
      <c r="A29" t="s">
        <v>2699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2703</v>
      </c>
      <c r="B30" t="s">
        <v>2142</v>
      </c>
      <c r="C30">
        <v>1</v>
      </c>
    </row>
    <row r="31" spans="1:8">
      <c r="A31" t="s">
        <v>2708</v>
      </c>
      <c r="B31" t="s">
        <v>2984</v>
      </c>
      <c r="E31">
        <v>1</v>
      </c>
    </row>
    <row r="32" spans="1:8">
      <c r="A32" t="s">
        <v>2709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2713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2723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2725</v>
      </c>
      <c r="B35" t="s">
        <v>2985</v>
      </c>
      <c r="C35">
        <v>1</v>
      </c>
    </row>
    <row r="36" spans="1:8">
      <c r="A36" t="s">
        <v>2726</v>
      </c>
      <c r="B36" t="s">
        <v>2986</v>
      </c>
      <c r="C36">
        <v>1</v>
      </c>
    </row>
    <row r="37" spans="1:8">
      <c r="A37" t="s">
        <v>2727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2728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2730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2739</v>
      </c>
      <c r="B40" t="s">
        <v>2987</v>
      </c>
      <c r="F40">
        <v>1</v>
      </c>
    </row>
    <row r="41" spans="1:8">
      <c r="A41" t="s">
        <v>2749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2988</v>
      </c>
      <c r="B42" t="s">
        <v>2989</v>
      </c>
    </row>
    <row r="43" spans="1:8">
      <c r="A43" t="s">
        <v>2760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2766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2774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2776</v>
      </c>
      <c r="B46" t="s">
        <v>2143</v>
      </c>
      <c r="C46">
        <v>1</v>
      </c>
    </row>
    <row r="47" spans="1:8">
      <c r="A47" t="s">
        <v>2784</v>
      </c>
    </row>
    <row r="48" spans="1:8">
      <c r="A48" t="s">
        <v>2785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2786</v>
      </c>
      <c r="B49" t="s">
        <v>2249</v>
      </c>
      <c r="C49">
        <v>1</v>
      </c>
    </row>
    <row r="50" spans="1:8">
      <c r="A50" t="s">
        <v>2789</v>
      </c>
      <c r="B50" t="s">
        <v>2144</v>
      </c>
      <c r="F50">
        <v>1</v>
      </c>
    </row>
    <row r="51" spans="1:8">
      <c r="A51" t="s">
        <v>2790</v>
      </c>
      <c r="B51" t="s">
        <v>2245</v>
      </c>
      <c r="C51">
        <v>1</v>
      </c>
    </row>
    <row r="52" spans="1:8">
      <c r="A52" t="s">
        <v>2792</v>
      </c>
      <c r="B52" t="s">
        <v>2151</v>
      </c>
      <c r="C52">
        <v>1</v>
      </c>
    </row>
    <row r="53" spans="1:8">
      <c r="A53" t="s">
        <v>2798</v>
      </c>
      <c r="B53" t="s">
        <v>2145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2803</v>
      </c>
    </row>
    <row r="55" spans="1:8">
      <c r="A55" t="s">
        <v>2810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2817</v>
      </c>
      <c r="B56" t="s">
        <v>2147</v>
      </c>
      <c r="C56">
        <v>1</v>
      </c>
    </row>
    <row r="57" spans="1:8">
      <c r="A57" t="s">
        <v>2821</v>
      </c>
      <c r="B57" t="s">
        <v>2990</v>
      </c>
      <c r="C57">
        <v>1</v>
      </c>
    </row>
    <row r="58" spans="1:8">
      <c r="A58" t="s">
        <v>2828</v>
      </c>
      <c r="B58" t="s">
        <v>2991</v>
      </c>
      <c r="F58">
        <v>1</v>
      </c>
    </row>
    <row r="59" spans="1:8">
      <c r="A59" t="s">
        <v>2829</v>
      </c>
    </row>
    <row r="60" spans="1:8">
      <c r="A60" t="s">
        <v>2830</v>
      </c>
      <c r="B60" t="s">
        <v>2992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2831</v>
      </c>
    </row>
    <row r="62" spans="1:8">
      <c r="A62" t="s">
        <v>2832</v>
      </c>
      <c r="B62" t="s">
        <v>2993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2834</v>
      </c>
    </row>
    <row r="64" spans="1:8">
      <c r="A64" t="s">
        <v>2835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2836</v>
      </c>
    </row>
    <row r="66" spans="1:8">
      <c r="A66" t="s">
        <v>2843</v>
      </c>
      <c r="B66" t="s">
        <v>2148</v>
      </c>
      <c r="C66">
        <v>1</v>
      </c>
    </row>
    <row r="67" spans="1:8">
      <c r="A67" t="s">
        <v>2844</v>
      </c>
      <c r="B67" t="s">
        <v>2146</v>
      </c>
      <c r="G67">
        <v>1</v>
      </c>
    </row>
    <row r="68" spans="1:8">
      <c r="A68" t="s">
        <v>2845</v>
      </c>
      <c r="B68" t="s">
        <v>2149</v>
      </c>
      <c r="C68">
        <v>1</v>
      </c>
    </row>
    <row r="69" spans="1:8">
      <c r="A69" t="s">
        <v>2846</v>
      </c>
      <c r="B69" t="s">
        <v>2994</v>
      </c>
      <c r="G69">
        <v>1</v>
      </c>
    </row>
    <row r="70" spans="1:8">
      <c r="A70" t="s">
        <v>2847</v>
      </c>
      <c r="B70" t="s">
        <v>2995</v>
      </c>
      <c r="F70">
        <v>1</v>
      </c>
    </row>
    <row r="71" spans="1:8">
      <c r="A71" t="s">
        <v>2849</v>
      </c>
      <c r="B71" t="s">
        <v>2153</v>
      </c>
      <c r="D71">
        <v>1</v>
      </c>
    </row>
    <row r="72" spans="1:8">
      <c r="A72" t="s">
        <v>2856</v>
      </c>
      <c r="B72" t="s">
        <v>2150</v>
      </c>
      <c r="C72">
        <v>1</v>
      </c>
    </row>
    <row r="73" spans="1:8">
      <c r="A73" t="s">
        <v>2861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2864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2866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2869</v>
      </c>
    </row>
    <row r="77" spans="1:8">
      <c r="A77" t="s">
        <v>2870</v>
      </c>
    </row>
    <row r="78" spans="1:8">
      <c r="A78" t="s">
        <v>2872</v>
      </c>
      <c r="B78" t="s">
        <v>2996</v>
      </c>
      <c r="C78">
        <v>1</v>
      </c>
    </row>
    <row r="79" spans="1:8">
      <c r="A79" t="s">
        <v>2997</v>
      </c>
      <c r="B79" t="s">
        <v>2152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2877</v>
      </c>
    </row>
    <row r="81" spans="1:8">
      <c r="A81" t="s">
        <v>2879</v>
      </c>
    </row>
    <row r="82" spans="1:8">
      <c r="A82" t="s">
        <v>2881</v>
      </c>
      <c r="B82" t="s">
        <v>3320</v>
      </c>
      <c r="C82">
        <v>1</v>
      </c>
    </row>
    <row r="83" spans="1:8">
      <c r="A83" t="s">
        <v>2886</v>
      </c>
      <c r="B83" t="s">
        <v>2998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</row>
    <row r="84" spans="1:8">
      <c r="A84" t="s">
        <v>2887</v>
      </c>
      <c r="B84" t="s">
        <v>3118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>
      <c r="A85" t="s">
        <v>2889</v>
      </c>
      <c r="B85" t="s">
        <v>2449</v>
      </c>
      <c r="G85">
        <v>1</v>
      </c>
    </row>
    <row r="86" spans="1:8">
      <c r="A86" t="s">
        <v>2891</v>
      </c>
      <c r="C86">
        <v>1</v>
      </c>
      <c r="D86">
        <v>0</v>
      </c>
      <c r="E86">
        <v>0</v>
      </c>
      <c r="F86">
        <v>2</v>
      </c>
      <c r="G86">
        <v>0</v>
      </c>
      <c r="H86">
        <v>0</v>
      </c>
    </row>
    <row r="87" spans="1:8">
      <c r="A87" t="s">
        <v>2893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2894</v>
      </c>
      <c r="B88" t="s">
        <v>2999</v>
      </c>
      <c r="C88">
        <v>1</v>
      </c>
      <c r="E88">
        <v>1</v>
      </c>
    </row>
    <row r="89" spans="1:8">
      <c r="A89" t="s">
        <v>2895</v>
      </c>
      <c r="B89" t="s">
        <v>3321</v>
      </c>
      <c r="C89">
        <v>1</v>
      </c>
    </row>
    <row r="90" spans="1:8">
      <c r="A90" t="s">
        <v>2896</v>
      </c>
      <c r="B90" t="s">
        <v>3322</v>
      </c>
      <c r="D90">
        <v>1</v>
      </c>
    </row>
    <row r="91" spans="1:8">
      <c r="A91" t="s">
        <v>2900</v>
      </c>
      <c r="B91" t="s">
        <v>3323</v>
      </c>
      <c r="G91">
        <v>1</v>
      </c>
    </row>
    <row r="92" spans="1:8">
      <c r="A92" t="s">
        <v>2901</v>
      </c>
      <c r="B92" t="s">
        <v>2450</v>
      </c>
      <c r="C92">
        <v>2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 t="s">
        <v>2903</v>
      </c>
      <c r="B93" t="s">
        <v>3324</v>
      </c>
      <c r="C93">
        <v>2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>
      <c r="A94" t="s">
        <v>2906</v>
      </c>
      <c r="B94" t="s">
        <v>3325</v>
      </c>
      <c r="C94">
        <v>1</v>
      </c>
    </row>
    <row r="95" spans="1:8">
      <c r="A95" s="6" t="s">
        <v>2907</v>
      </c>
      <c r="B95" s="6" t="s">
        <v>3326</v>
      </c>
      <c r="C95" s="6"/>
      <c r="D95" s="6"/>
      <c r="E95" s="6"/>
      <c r="F95" s="6"/>
      <c r="G95" s="6"/>
      <c r="H95" s="6"/>
    </row>
    <row r="96" spans="1:8">
      <c r="A96" s="6" t="s">
        <v>2908</v>
      </c>
      <c r="B96" s="6" t="s">
        <v>3327</v>
      </c>
      <c r="C96" s="6">
        <v>1</v>
      </c>
      <c r="D96" s="6">
        <v>1</v>
      </c>
      <c r="E96" s="6">
        <v>0</v>
      </c>
      <c r="F96" s="6">
        <v>0</v>
      </c>
      <c r="G96" s="6">
        <v>0</v>
      </c>
      <c r="H96" s="6">
        <v>0</v>
      </c>
    </row>
    <row r="97" spans="1:8">
      <c r="A97" s="6" t="s">
        <v>2909</v>
      </c>
      <c r="B97" s="6" t="s">
        <v>2454</v>
      </c>
      <c r="C97" s="6">
        <v>1</v>
      </c>
      <c r="D97" s="6"/>
      <c r="E97" s="6"/>
      <c r="F97" s="6"/>
      <c r="G97" s="6"/>
      <c r="H97" s="6"/>
    </row>
    <row r="98" spans="1:8">
      <c r="A98" s="6" t="s">
        <v>2910</v>
      </c>
      <c r="B98" s="6" t="s">
        <v>3328</v>
      </c>
      <c r="C98" s="6">
        <v>1</v>
      </c>
      <c r="D98" s="6"/>
      <c r="E98" s="6"/>
      <c r="F98" s="6"/>
      <c r="G98" s="6"/>
      <c r="H98" s="6"/>
    </row>
    <row r="99" spans="1:8">
      <c r="A99" s="6" t="s">
        <v>2912</v>
      </c>
      <c r="B99" s="6" t="s">
        <v>3329</v>
      </c>
      <c r="C99" s="6">
        <v>0</v>
      </c>
      <c r="D99" s="6">
        <v>0</v>
      </c>
      <c r="E99" s="6">
        <v>0</v>
      </c>
      <c r="F99" s="6">
        <v>2</v>
      </c>
      <c r="G99" s="6">
        <v>1</v>
      </c>
      <c r="H99" s="6">
        <v>0</v>
      </c>
    </row>
    <row r="100" spans="1:8">
      <c r="A100" s="6" t="s">
        <v>2913</v>
      </c>
      <c r="B100" s="6" t="s">
        <v>2452</v>
      </c>
      <c r="C100" s="6">
        <v>1</v>
      </c>
      <c r="D100" s="6"/>
      <c r="E100" s="6"/>
      <c r="F100" s="6"/>
      <c r="G100" s="6"/>
      <c r="H100" s="6"/>
    </row>
    <row r="101" spans="1:8">
      <c r="A101" s="6" t="s">
        <v>2915</v>
      </c>
      <c r="B101" s="6"/>
      <c r="C101" s="6"/>
      <c r="D101" s="6"/>
      <c r="E101" s="6"/>
      <c r="F101" s="6"/>
      <c r="G101" s="6"/>
      <c r="H101" s="6"/>
    </row>
    <row r="102" spans="1:8">
      <c r="A102" s="6" t="s">
        <v>2917</v>
      </c>
      <c r="B102" s="6"/>
      <c r="C102" s="6"/>
      <c r="D102" s="6"/>
      <c r="E102" s="6"/>
      <c r="F102" s="6"/>
      <c r="G102" s="6"/>
      <c r="H102" s="6"/>
    </row>
    <row r="103" spans="1:8">
      <c r="A103" s="6" t="s">
        <v>2918</v>
      </c>
      <c r="B103" s="6"/>
      <c r="C103" s="6"/>
      <c r="D103" s="6"/>
      <c r="E103" s="6"/>
      <c r="F103" s="6"/>
      <c r="G103" s="6"/>
      <c r="H103" s="6"/>
    </row>
    <row r="104" spans="1:8">
      <c r="A104" s="6" t="s">
        <v>2923</v>
      </c>
      <c r="B104" s="6" t="s">
        <v>3330</v>
      </c>
      <c r="C104" s="6"/>
      <c r="D104" s="6"/>
      <c r="E104" s="6"/>
      <c r="F104" s="6">
        <v>1</v>
      </c>
      <c r="G104" s="6"/>
      <c r="H104" s="6"/>
    </row>
    <row r="105" spans="1:8">
      <c r="A105" s="6" t="s">
        <v>2924</v>
      </c>
      <c r="B105" s="6" t="s">
        <v>3331</v>
      </c>
      <c r="C105" s="6">
        <v>1</v>
      </c>
      <c r="D105" s="6"/>
      <c r="E105" s="6"/>
      <c r="F105" s="6"/>
      <c r="G105" s="6"/>
      <c r="H105" s="6"/>
    </row>
    <row r="106" spans="1:8">
      <c r="A106" s="6" t="s">
        <v>2926</v>
      </c>
      <c r="B106" s="6" t="s">
        <v>3332</v>
      </c>
      <c r="C106" s="6">
        <v>1</v>
      </c>
      <c r="D106" s="6"/>
      <c r="E106" s="6"/>
      <c r="F106" s="6"/>
      <c r="G106" s="6"/>
      <c r="H106" s="6"/>
    </row>
    <row r="107" spans="1:8">
      <c r="A107" s="6" t="s">
        <v>2927</v>
      </c>
      <c r="B107" s="6">
        <v>0</v>
      </c>
      <c r="C107" s="6"/>
      <c r="D107" s="6"/>
      <c r="E107" s="6"/>
      <c r="F107" s="6"/>
      <c r="G107" s="6"/>
      <c r="H107" s="6"/>
    </row>
    <row r="108" spans="1:8">
      <c r="A108" s="6" t="s">
        <v>2928</v>
      </c>
      <c r="B108" s="6" t="s">
        <v>3333</v>
      </c>
      <c r="C108" s="6">
        <v>1</v>
      </c>
      <c r="D108" s="6"/>
      <c r="E108" s="6"/>
      <c r="F108" s="6"/>
      <c r="G108" s="6"/>
      <c r="H108" s="6"/>
    </row>
    <row r="109" spans="1:8">
      <c r="A109" s="6" t="s">
        <v>2929</v>
      </c>
      <c r="B109" s="6"/>
      <c r="C109" s="6"/>
      <c r="D109" s="6"/>
      <c r="E109" s="6"/>
      <c r="F109" s="6"/>
      <c r="G109" s="6"/>
      <c r="H109" s="6"/>
    </row>
    <row r="110" spans="1:8">
      <c r="A110" s="6" t="s">
        <v>2931</v>
      </c>
      <c r="B110" s="6"/>
      <c r="C110" s="6"/>
      <c r="D110" s="6"/>
      <c r="E110" s="6"/>
      <c r="F110" s="6"/>
      <c r="G110" s="6"/>
      <c r="H110" s="6"/>
    </row>
    <row r="111" spans="1:8">
      <c r="A111" s="6" t="s">
        <v>2933</v>
      </c>
      <c r="B111" s="6" t="s">
        <v>2453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</row>
    <row r="112" spans="1:8">
      <c r="A112" s="6" t="s">
        <v>2936</v>
      </c>
      <c r="B112" s="6" t="s">
        <v>3334</v>
      </c>
      <c r="C112" s="6">
        <v>1</v>
      </c>
      <c r="D112" s="6"/>
      <c r="E112" s="6"/>
      <c r="F112" s="6"/>
      <c r="G112" s="6"/>
      <c r="H112" s="6"/>
    </row>
    <row r="113" spans="1:8">
      <c r="A113" s="6" t="s">
        <v>2943</v>
      </c>
      <c r="B113" s="6" t="s">
        <v>3335</v>
      </c>
      <c r="C113" s="6"/>
      <c r="D113" s="6"/>
      <c r="E113" s="6"/>
      <c r="F113" s="6"/>
      <c r="G113" s="6">
        <v>1</v>
      </c>
      <c r="H113" s="6"/>
    </row>
    <row r="114" spans="1:8">
      <c r="A114" s="6" t="s">
        <v>2946</v>
      </c>
      <c r="B114" s="6" t="s">
        <v>3336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</row>
    <row r="115" spans="1:8">
      <c r="A115" s="6" t="s">
        <v>2947</v>
      </c>
      <c r="B115" s="6" t="s">
        <v>3337</v>
      </c>
      <c r="C115" s="6"/>
      <c r="D115" s="6"/>
      <c r="E115" s="6"/>
      <c r="F115" s="6">
        <v>1</v>
      </c>
      <c r="G115" s="6"/>
      <c r="H115" s="6"/>
    </row>
    <row r="116" spans="1:8">
      <c r="A116" s="6" t="s">
        <v>2951</v>
      </c>
      <c r="B116" s="6"/>
      <c r="C116" s="6"/>
      <c r="D116" s="6"/>
      <c r="E116" s="6"/>
      <c r="F116" s="6"/>
      <c r="G116" s="6"/>
      <c r="H116" s="6"/>
    </row>
    <row r="117" spans="1:8">
      <c r="A117" s="6" t="s">
        <v>2953</v>
      </c>
      <c r="B117" s="6"/>
      <c r="C117" s="6"/>
      <c r="D117" s="6">
        <v>1</v>
      </c>
      <c r="E117" s="6"/>
      <c r="F117" s="6"/>
      <c r="G117" s="6"/>
      <c r="H117" s="6"/>
    </row>
    <row r="118" spans="1:8">
      <c r="A118" s="6" t="s">
        <v>2956</v>
      </c>
      <c r="B118" s="6" t="s">
        <v>3338</v>
      </c>
      <c r="C118" s="6"/>
      <c r="D118" s="6"/>
      <c r="E118" s="6"/>
      <c r="F118" s="6">
        <v>1</v>
      </c>
      <c r="G118" s="6"/>
      <c r="H118" s="6"/>
    </row>
    <row r="119" spans="1:8">
      <c r="A119" s="6" t="s">
        <v>2964</v>
      </c>
      <c r="B119" s="6" t="s">
        <v>3119</v>
      </c>
      <c r="C119" s="6">
        <v>1</v>
      </c>
      <c r="D119" s="6"/>
      <c r="E119" s="6"/>
      <c r="F119" s="6">
        <v>1</v>
      </c>
      <c r="G119" s="6"/>
      <c r="H119" s="6"/>
    </row>
    <row r="120" spans="1:8">
      <c r="A120" s="6" t="s">
        <v>2965</v>
      </c>
      <c r="B120" s="6" t="s">
        <v>2451</v>
      </c>
      <c r="C120" s="6"/>
      <c r="D120" s="6"/>
      <c r="E120" s="6"/>
      <c r="F120" s="6"/>
      <c r="G120" s="6">
        <v>1</v>
      </c>
      <c r="H120" s="6"/>
    </row>
    <row r="121" spans="1:8">
      <c r="A121" s="6" t="s">
        <v>2966</v>
      </c>
      <c r="B121" s="6" t="s">
        <v>2455</v>
      </c>
      <c r="C121" s="6"/>
      <c r="D121" s="6"/>
      <c r="E121" s="6"/>
      <c r="F121" s="6">
        <v>1</v>
      </c>
      <c r="G121" s="6"/>
      <c r="H121" s="6"/>
    </row>
    <row r="122" spans="1:8">
      <c r="A122" s="6" t="s">
        <v>2968</v>
      </c>
      <c r="B122" s="6" t="s">
        <v>3000</v>
      </c>
      <c r="C122" s="6">
        <v>1</v>
      </c>
      <c r="D122" s="6"/>
      <c r="E122" s="6"/>
      <c r="F122" s="6"/>
      <c r="G122" s="6"/>
      <c r="H122" s="6"/>
    </row>
    <row r="123" spans="1:8">
      <c r="A123" s="6" t="s">
        <v>2970</v>
      </c>
      <c r="B123" s="6" t="s">
        <v>2456</v>
      </c>
      <c r="C123" s="6">
        <v>1</v>
      </c>
      <c r="D123" s="6"/>
      <c r="E123" s="6"/>
      <c r="F123" s="6"/>
      <c r="G123" s="6"/>
      <c r="H123" s="6"/>
    </row>
    <row r="124" spans="1:8">
      <c r="A124" s="6" t="s">
        <v>2973</v>
      </c>
      <c r="B124" s="6"/>
      <c r="C124" s="6"/>
      <c r="D124" s="6"/>
      <c r="E124" s="6"/>
      <c r="F124" s="6"/>
      <c r="G124" s="6"/>
      <c r="H124" s="6"/>
    </row>
    <row r="125" spans="1:8">
      <c r="A125" s="6" t="s">
        <v>2975</v>
      </c>
      <c r="B125" s="6" t="s">
        <v>3339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</row>
    <row r="126" spans="1:8">
      <c r="A126" s="6" t="s">
        <v>2976</v>
      </c>
      <c r="B126" s="6" t="s">
        <v>3340</v>
      </c>
      <c r="C126" s="6">
        <v>3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06"/>
  <sheetViews>
    <sheetView workbookViewId="0">
      <pane ySplit="1" topLeftCell="A2" activePane="bottomLeft" state="frozen"/>
      <selection activeCell="C24" sqref="C24"/>
      <selection pane="bottomLeft" activeCell="B9" sqref="B9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35.7109375" style="37" bestFit="1" customWidth="1"/>
    <col min="6" max="6" width="26.7109375" style="37" bestFit="1" customWidth="1"/>
    <col min="7" max="8" width="17.5703125" style="37" bestFit="1" customWidth="1"/>
    <col min="9" max="9" width="15.42578125" style="37" bestFit="1" customWidth="1"/>
    <col min="10" max="10" width="15.140625" style="37" bestFit="1" customWidth="1"/>
    <col min="11" max="11" width="22.7109375" style="37" bestFit="1" customWidth="1"/>
    <col min="12" max="12" width="20.28515625" style="37" bestFit="1" customWidth="1"/>
    <col min="13" max="13" width="20.85546875" style="37" bestFit="1" customWidth="1"/>
    <col min="14" max="14" width="79.7109375" style="37" bestFit="1" customWidth="1"/>
    <col min="15" max="15" width="81.140625" style="37" bestFit="1" customWidth="1"/>
    <col min="16" max="16384" width="9.140625" style="37"/>
  </cols>
  <sheetData>
    <row r="1" spans="1:14">
      <c r="A1" s="39" t="s">
        <v>966</v>
      </c>
      <c r="B1" s="39" t="s">
        <v>965</v>
      </c>
      <c r="C1" s="39" t="s">
        <v>1301</v>
      </c>
      <c r="D1" s="39" t="s">
        <v>1302</v>
      </c>
      <c r="E1" s="39" t="s">
        <v>1980</v>
      </c>
      <c r="F1" s="39" t="s">
        <v>967</v>
      </c>
      <c r="G1" s="39" t="s">
        <v>968</v>
      </c>
      <c r="H1" s="39" t="s">
        <v>969</v>
      </c>
      <c r="I1" s="39" t="s">
        <v>970</v>
      </c>
      <c r="J1" s="39" t="s">
        <v>971</v>
      </c>
      <c r="K1" s="39" t="s">
        <v>972</v>
      </c>
      <c r="L1" s="39" t="s">
        <v>973</v>
      </c>
      <c r="M1" s="39" t="s">
        <v>974</v>
      </c>
      <c r="N1" s="39" t="s">
        <v>975</v>
      </c>
    </row>
    <row r="2" spans="1:14">
      <c r="A2" s="37" t="s">
        <v>2013</v>
      </c>
      <c r="B2" s="36" t="s">
        <v>977</v>
      </c>
      <c r="C2" s="37" t="s">
        <v>1595</v>
      </c>
      <c r="D2" s="37" t="s">
        <v>2014</v>
      </c>
      <c r="H2" s="37" t="s">
        <v>976</v>
      </c>
      <c r="L2" s="37" t="s">
        <v>1594</v>
      </c>
      <c r="M2" s="37" t="s">
        <v>1594</v>
      </c>
      <c r="N2" s="39" t="s">
        <v>3011</v>
      </c>
    </row>
    <row r="3" spans="1:14">
      <c r="A3" s="37" t="s">
        <v>979</v>
      </c>
      <c r="B3" s="36" t="s">
        <v>978</v>
      </c>
      <c r="C3" s="37" t="s">
        <v>1596</v>
      </c>
      <c r="D3" s="37" t="s">
        <v>1597</v>
      </c>
      <c r="E3" s="37" t="s">
        <v>1981</v>
      </c>
      <c r="F3" s="37" t="s">
        <v>3120</v>
      </c>
      <c r="G3" s="37" t="s">
        <v>980</v>
      </c>
      <c r="H3" s="37" t="s">
        <v>981</v>
      </c>
      <c r="I3" s="37" t="s">
        <v>982</v>
      </c>
      <c r="J3" s="37" t="s">
        <v>981</v>
      </c>
      <c r="K3" s="37" t="s">
        <v>982</v>
      </c>
      <c r="L3" s="37" t="s">
        <v>1598</v>
      </c>
      <c r="M3" s="37" t="s">
        <v>1598</v>
      </c>
      <c r="N3" s="39" t="s">
        <v>983</v>
      </c>
    </row>
    <row r="4" spans="1:14">
      <c r="A4" s="37" t="s">
        <v>985</v>
      </c>
      <c r="B4" s="36" t="s">
        <v>984</v>
      </c>
      <c r="C4" s="37" t="s">
        <v>1599</v>
      </c>
      <c r="D4" s="37" t="s">
        <v>1600</v>
      </c>
      <c r="E4" s="37" t="s">
        <v>1982</v>
      </c>
      <c r="F4" s="37" t="s">
        <v>2072</v>
      </c>
      <c r="G4" s="37" t="s">
        <v>986</v>
      </c>
      <c r="H4" s="37" t="s">
        <v>987</v>
      </c>
      <c r="I4" s="37" t="s">
        <v>986</v>
      </c>
      <c r="J4" s="37" t="s">
        <v>987</v>
      </c>
      <c r="L4" s="37" t="s">
        <v>1598</v>
      </c>
      <c r="M4" s="37" t="s">
        <v>1594</v>
      </c>
      <c r="N4" s="39" t="s">
        <v>1882</v>
      </c>
    </row>
    <row r="5" spans="1:14">
      <c r="A5" s="37" t="s">
        <v>985</v>
      </c>
      <c r="B5" s="36" t="s">
        <v>988</v>
      </c>
      <c r="C5" s="37" t="s">
        <v>1599</v>
      </c>
      <c r="D5" s="37" t="s">
        <v>1600</v>
      </c>
      <c r="E5" s="37" t="s">
        <v>1982</v>
      </c>
      <c r="F5" s="37" t="s">
        <v>2072</v>
      </c>
      <c r="G5" s="37" t="s">
        <v>986</v>
      </c>
      <c r="H5" s="37" t="s">
        <v>987</v>
      </c>
      <c r="I5" s="37" t="s">
        <v>986</v>
      </c>
      <c r="J5" s="37" t="s">
        <v>987</v>
      </c>
      <c r="L5" s="37" t="s">
        <v>1598</v>
      </c>
      <c r="M5" s="37" t="s">
        <v>1594</v>
      </c>
      <c r="N5" s="39" t="s">
        <v>1882</v>
      </c>
    </row>
    <row r="6" spans="1:14">
      <c r="A6" s="37" t="s">
        <v>384</v>
      </c>
      <c r="B6" s="36" t="s">
        <v>989</v>
      </c>
      <c r="C6" s="37" t="s">
        <v>1601</v>
      </c>
      <c r="D6" s="37" t="s">
        <v>1602</v>
      </c>
      <c r="E6" s="37" t="s">
        <v>1983</v>
      </c>
      <c r="F6" s="37" t="s">
        <v>2073</v>
      </c>
      <c r="G6" s="37" t="s">
        <v>990</v>
      </c>
      <c r="H6" s="37" t="s">
        <v>25</v>
      </c>
      <c r="I6" s="37" t="s">
        <v>990</v>
      </c>
      <c r="J6" s="37" t="s">
        <v>25</v>
      </c>
      <c r="K6" s="37" t="s">
        <v>990</v>
      </c>
      <c r="L6" s="37" t="s">
        <v>1598</v>
      </c>
      <c r="M6" s="37" t="s">
        <v>1598</v>
      </c>
      <c r="N6" s="39" t="s">
        <v>991</v>
      </c>
    </row>
    <row r="7" spans="1:14">
      <c r="A7" s="37" t="s">
        <v>385</v>
      </c>
      <c r="B7" s="36" t="s">
        <v>992</v>
      </c>
      <c r="C7" s="37" t="s">
        <v>1603</v>
      </c>
      <c r="D7" s="37" t="s">
        <v>1604</v>
      </c>
      <c r="E7" s="37" t="s">
        <v>1984</v>
      </c>
      <c r="F7" s="37" t="s">
        <v>782</v>
      </c>
      <c r="G7" s="37" t="s">
        <v>990</v>
      </c>
      <c r="H7" s="37" t="s">
        <v>25</v>
      </c>
      <c r="I7" s="37" t="s">
        <v>990</v>
      </c>
      <c r="J7" s="37" t="s">
        <v>25</v>
      </c>
      <c r="K7" s="37" t="s">
        <v>990</v>
      </c>
      <c r="L7" s="37" t="s">
        <v>1598</v>
      </c>
      <c r="M7" s="37" t="s">
        <v>1598</v>
      </c>
      <c r="N7" s="39" t="s">
        <v>993</v>
      </c>
    </row>
    <row r="8" spans="1:14">
      <c r="A8" s="37" t="s">
        <v>386</v>
      </c>
      <c r="B8" s="36" t="s">
        <v>994</v>
      </c>
      <c r="C8" s="37" t="s">
        <v>1605</v>
      </c>
      <c r="D8" s="37" t="s">
        <v>1606</v>
      </c>
      <c r="E8" s="37" t="s">
        <v>1985</v>
      </c>
      <c r="F8" s="37" t="s">
        <v>2074</v>
      </c>
      <c r="G8" s="37" t="s">
        <v>990</v>
      </c>
      <c r="H8" s="37" t="s">
        <v>25</v>
      </c>
      <c r="I8" s="37" t="s">
        <v>990</v>
      </c>
      <c r="J8" s="37" t="s">
        <v>25</v>
      </c>
      <c r="K8" s="37" t="s">
        <v>990</v>
      </c>
      <c r="L8" s="37" t="s">
        <v>1598</v>
      </c>
      <c r="M8" s="37" t="s">
        <v>1598</v>
      </c>
      <c r="N8" s="39" t="s">
        <v>995</v>
      </c>
    </row>
    <row r="9" spans="1:14">
      <c r="A9" s="37" t="s">
        <v>1001</v>
      </c>
      <c r="B9" s="36" t="s">
        <v>1000</v>
      </c>
      <c r="C9" s="37" t="s">
        <v>1607</v>
      </c>
      <c r="D9" s="37" t="s">
        <v>1608</v>
      </c>
      <c r="E9" s="37" t="s">
        <v>1986</v>
      </c>
      <c r="F9" s="37" t="s">
        <v>2075</v>
      </c>
      <c r="G9" s="37" t="s">
        <v>1002</v>
      </c>
      <c r="H9" s="37" t="s">
        <v>1003</v>
      </c>
      <c r="I9" s="37" t="s">
        <v>1002</v>
      </c>
      <c r="J9" s="37" t="s">
        <v>1003</v>
      </c>
      <c r="K9" s="37" t="s">
        <v>1002</v>
      </c>
      <c r="L9" s="37" t="s">
        <v>1598</v>
      </c>
      <c r="M9" s="37" t="s">
        <v>1598</v>
      </c>
      <c r="N9" s="39" t="s">
        <v>1004</v>
      </c>
    </row>
    <row r="10" spans="1:14">
      <c r="A10" s="37" t="s">
        <v>1006</v>
      </c>
      <c r="B10" s="36" t="s">
        <v>1005</v>
      </c>
      <c r="C10" s="37" t="s">
        <v>1609</v>
      </c>
      <c r="D10" s="37" t="s">
        <v>1610</v>
      </c>
      <c r="E10" s="37" t="s">
        <v>1987</v>
      </c>
      <c r="F10" s="37" t="s">
        <v>1497</v>
      </c>
      <c r="G10" s="37" t="s">
        <v>1002</v>
      </c>
      <c r="H10" s="37" t="s">
        <v>1003</v>
      </c>
      <c r="I10" s="37" t="s">
        <v>1002</v>
      </c>
      <c r="J10" s="37" t="s">
        <v>1003</v>
      </c>
      <c r="K10" s="37" t="s">
        <v>1002</v>
      </c>
      <c r="L10" s="37" t="s">
        <v>1598</v>
      </c>
      <c r="M10" s="37" t="s">
        <v>1598</v>
      </c>
      <c r="N10" s="39" t="s">
        <v>1004</v>
      </c>
    </row>
    <row r="11" spans="1:14">
      <c r="A11" s="37" t="s">
        <v>1008</v>
      </c>
      <c r="B11" s="36" t="s">
        <v>1007</v>
      </c>
      <c r="C11" s="37" t="s">
        <v>1611</v>
      </c>
      <c r="D11" s="37" t="s">
        <v>1612</v>
      </c>
      <c r="E11" s="37" t="s">
        <v>1988</v>
      </c>
      <c r="F11" s="37" t="s">
        <v>2076</v>
      </c>
      <c r="G11" s="37" t="s">
        <v>1009</v>
      </c>
      <c r="H11" s="37" t="s">
        <v>997</v>
      </c>
      <c r="I11" s="37" t="s">
        <v>1010</v>
      </c>
      <c r="J11" s="37" t="s">
        <v>997</v>
      </c>
      <c r="K11" s="37" t="s">
        <v>1009</v>
      </c>
      <c r="L11" s="37" t="s">
        <v>1598</v>
      </c>
      <c r="M11" s="37" t="s">
        <v>1598</v>
      </c>
      <c r="N11" s="39" t="s">
        <v>1011</v>
      </c>
    </row>
    <row r="12" spans="1:14">
      <c r="A12" s="37" t="s">
        <v>1013</v>
      </c>
      <c r="B12" s="36" t="s">
        <v>1012</v>
      </c>
      <c r="C12" s="37" t="s">
        <v>1613</v>
      </c>
      <c r="D12" s="37" t="s">
        <v>1614</v>
      </c>
      <c r="E12" s="37" t="s">
        <v>1989</v>
      </c>
      <c r="F12" s="37" t="s">
        <v>2077</v>
      </c>
      <c r="G12" s="37" t="s">
        <v>1002</v>
      </c>
      <c r="H12" s="37" t="s">
        <v>1003</v>
      </c>
      <c r="I12" s="37" t="s">
        <v>1014</v>
      </c>
      <c r="J12" s="37" t="s">
        <v>1003</v>
      </c>
      <c r="K12" s="37" t="s">
        <v>1014</v>
      </c>
      <c r="L12" s="37" t="s">
        <v>1598</v>
      </c>
      <c r="M12" s="37" t="s">
        <v>1598</v>
      </c>
      <c r="N12" s="39" t="s">
        <v>1015</v>
      </c>
    </row>
    <row r="13" spans="1:14">
      <c r="A13" s="37" t="s">
        <v>1017</v>
      </c>
      <c r="B13" s="36" t="s">
        <v>1016</v>
      </c>
      <c r="C13" s="37" t="s">
        <v>1615</v>
      </c>
      <c r="D13" s="37" t="s">
        <v>1616</v>
      </c>
      <c r="E13" s="37" t="s">
        <v>1990</v>
      </c>
      <c r="F13" s="37" t="s">
        <v>1018</v>
      </c>
      <c r="G13" s="37" t="s">
        <v>1002</v>
      </c>
      <c r="H13" s="37" t="s">
        <v>1003</v>
      </c>
      <c r="I13" s="37" t="s">
        <v>1014</v>
      </c>
      <c r="J13" s="37" t="s">
        <v>1003</v>
      </c>
      <c r="K13" s="37" t="s">
        <v>1014</v>
      </c>
      <c r="L13" s="37" t="s">
        <v>1598</v>
      </c>
      <c r="M13" s="37" t="s">
        <v>1598</v>
      </c>
      <c r="N13" s="39" t="s">
        <v>1019</v>
      </c>
    </row>
    <row r="14" spans="1:14">
      <c r="A14" s="37" t="s">
        <v>383</v>
      </c>
      <c r="B14" s="36" t="s">
        <v>1020</v>
      </c>
      <c r="C14" s="37" t="s">
        <v>1617</v>
      </c>
      <c r="D14" s="37" t="s">
        <v>1618</v>
      </c>
      <c r="E14" s="37" t="s">
        <v>1022</v>
      </c>
      <c r="F14" s="37" t="s">
        <v>781</v>
      </c>
      <c r="G14" s="37" t="s">
        <v>1021</v>
      </c>
      <c r="H14" s="37" t="s">
        <v>25</v>
      </c>
      <c r="I14" s="37" t="s">
        <v>1022</v>
      </c>
      <c r="J14" s="37" t="s">
        <v>25</v>
      </c>
      <c r="K14" s="37" t="s">
        <v>1021</v>
      </c>
      <c r="L14" s="37" t="s">
        <v>1598</v>
      </c>
      <c r="M14" s="37" t="s">
        <v>1598</v>
      </c>
      <c r="N14" s="39" t="s">
        <v>1023</v>
      </c>
    </row>
    <row r="15" spans="1:14">
      <c r="A15" s="37" t="s">
        <v>1025</v>
      </c>
      <c r="B15" s="36" t="s">
        <v>1024</v>
      </c>
      <c r="C15" s="37" t="s">
        <v>1619</v>
      </c>
      <c r="D15" s="37" t="s">
        <v>1620</v>
      </c>
      <c r="E15" s="37" t="s">
        <v>1991</v>
      </c>
      <c r="F15" s="37" t="s">
        <v>1026</v>
      </c>
      <c r="G15" s="37" t="s">
        <v>1027</v>
      </c>
      <c r="H15" s="37" t="s">
        <v>1028</v>
      </c>
      <c r="I15" s="37" t="s">
        <v>1029</v>
      </c>
      <c r="J15" s="37" t="s">
        <v>1030</v>
      </c>
      <c r="K15" s="37" t="s">
        <v>1028</v>
      </c>
      <c r="L15" s="37" t="s">
        <v>1598</v>
      </c>
      <c r="M15" s="37" t="s">
        <v>1598</v>
      </c>
      <c r="N15" s="39" t="s">
        <v>1031</v>
      </c>
    </row>
    <row r="16" spans="1:14">
      <c r="A16" s="37" t="s">
        <v>1033</v>
      </c>
      <c r="B16" s="36" t="s">
        <v>1032</v>
      </c>
      <c r="C16" s="37" t="s">
        <v>1621</v>
      </c>
      <c r="D16" s="37" t="s">
        <v>1622</v>
      </c>
      <c r="E16" s="37" t="s">
        <v>2457</v>
      </c>
      <c r="F16" s="37" t="s">
        <v>2078</v>
      </c>
      <c r="G16" s="37" t="s">
        <v>1027</v>
      </c>
      <c r="H16" s="37" t="s">
        <v>1028</v>
      </c>
      <c r="I16" s="37" t="s">
        <v>1029</v>
      </c>
      <c r="J16" s="37" t="s">
        <v>1030</v>
      </c>
      <c r="K16" s="37" t="s">
        <v>1028</v>
      </c>
      <c r="L16" s="37" t="s">
        <v>1598</v>
      </c>
      <c r="M16" s="37" t="s">
        <v>1598</v>
      </c>
      <c r="N16" s="39" t="s">
        <v>1031</v>
      </c>
    </row>
    <row r="17" spans="1:14">
      <c r="A17" s="37" t="s">
        <v>1035</v>
      </c>
      <c r="B17" s="36" t="s">
        <v>1034</v>
      </c>
      <c r="C17" s="37" t="s">
        <v>1623</v>
      </c>
      <c r="D17" s="37" t="s">
        <v>1624</v>
      </c>
      <c r="E17" s="37" t="s">
        <v>1992</v>
      </c>
      <c r="F17" s="37" t="s">
        <v>1036</v>
      </c>
      <c r="G17" s="37" t="s">
        <v>1027</v>
      </c>
      <c r="H17" s="37" t="s">
        <v>1028</v>
      </c>
      <c r="I17" s="37" t="s">
        <v>1037</v>
      </c>
      <c r="J17" s="37" t="s">
        <v>1030</v>
      </c>
      <c r="K17" s="37" t="s">
        <v>1028</v>
      </c>
      <c r="L17" s="37" t="s">
        <v>1598</v>
      </c>
      <c r="M17" s="37" t="s">
        <v>1598</v>
      </c>
      <c r="N17" s="39" t="s">
        <v>1038</v>
      </c>
    </row>
    <row r="18" spans="1:14">
      <c r="A18" s="37" t="s">
        <v>1040</v>
      </c>
      <c r="B18" s="36" t="s">
        <v>1039</v>
      </c>
      <c r="C18" s="37" t="s">
        <v>1625</v>
      </c>
      <c r="D18" s="37" t="s">
        <v>1626</v>
      </c>
      <c r="E18" s="37" t="s">
        <v>1992</v>
      </c>
      <c r="F18" s="37" t="s">
        <v>1041</v>
      </c>
      <c r="G18" s="37" t="s">
        <v>1027</v>
      </c>
      <c r="H18" s="37" t="s">
        <v>1028</v>
      </c>
      <c r="I18" s="37" t="s">
        <v>1037</v>
      </c>
      <c r="J18" s="37" t="s">
        <v>1030</v>
      </c>
      <c r="K18" s="37" t="s">
        <v>1028</v>
      </c>
      <c r="L18" s="37" t="s">
        <v>1598</v>
      </c>
      <c r="M18" s="37" t="s">
        <v>1594</v>
      </c>
      <c r="N18" s="39" t="s">
        <v>1038</v>
      </c>
    </row>
    <row r="19" spans="1:14">
      <c r="A19" s="37" t="s">
        <v>1044</v>
      </c>
      <c r="B19" s="36" t="s">
        <v>1043</v>
      </c>
      <c r="C19" s="37" t="s">
        <v>1627</v>
      </c>
      <c r="D19" s="37" t="s">
        <v>1628</v>
      </c>
      <c r="E19" s="37" t="s">
        <v>1993</v>
      </c>
      <c r="F19" s="37" t="s">
        <v>2079</v>
      </c>
      <c r="G19" s="37" t="s">
        <v>1028</v>
      </c>
      <c r="H19" s="37" t="s">
        <v>1028</v>
      </c>
      <c r="I19" s="37" t="s">
        <v>1042</v>
      </c>
      <c r="J19" s="37" t="s">
        <v>1030</v>
      </c>
      <c r="K19" s="37" t="s">
        <v>1028</v>
      </c>
      <c r="L19" s="37" t="s">
        <v>1598</v>
      </c>
      <c r="M19" s="37" t="s">
        <v>1594</v>
      </c>
      <c r="N19" s="39" t="s">
        <v>1045</v>
      </c>
    </row>
    <row r="20" spans="1:14">
      <c r="A20" s="37" t="s">
        <v>1047</v>
      </c>
      <c r="B20" s="36" t="s">
        <v>1046</v>
      </c>
      <c r="C20" s="37" t="s">
        <v>1629</v>
      </c>
      <c r="D20" s="37" t="s">
        <v>1630</v>
      </c>
      <c r="E20" s="37" t="s">
        <v>2457</v>
      </c>
      <c r="F20" s="37" t="s">
        <v>2080</v>
      </c>
      <c r="G20" s="37" t="s">
        <v>1028</v>
      </c>
      <c r="H20" s="37" t="s">
        <v>1028</v>
      </c>
      <c r="I20" s="37" t="s">
        <v>1042</v>
      </c>
      <c r="J20" s="37" t="s">
        <v>1030</v>
      </c>
      <c r="K20" s="37" t="s">
        <v>1028</v>
      </c>
      <c r="L20" s="37" t="s">
        <v>1598</v>
      </c>
      <c r="M20" s="37" t="s">
        <v>1598</v>
      </c>
      <c r="N20" s="39" t="s">
        <v>1031</v>
      </c>
    </row>
    <row r="21" spans="1:14">
      <c r="A21" s="37" t="s">
        <v>3012</v>
      </c>
      <c r="B21" s="36" t="s">
        <v>3013</v>
      </c>
      <c r="C21" s="37" t="s">
        <v>3014</v>
      </c>
      <c r="D21" s="37" t="s">
        <v>3015</v>
      </c>
      <c r="E21" s="37" t="s">
        <v>3016</v>
      </c>
      <c r="F21" s="37" t="s">
        <v>3017</v>
      </c>
      <c r="G21" s="37" t="s">
        <v>1027</v>
      </c>
      <c r="H21" s="37" t="s">
        <v>1028</v>
      </c>
      <c r="I21" s="37" t="s">
        <v>1037</v>
      </c>
      <c r="J21" s="37" t="s">
        <v>1030</v>
      </c>
      <c r="K21" s="37" t="s">
        <v>1028</v>
      </c>
      <c r="L21" s="37" t="s">
        <v>1594</v>
      </c>
      <c r="M21" s="37" t="s">
        <v>1598</v>
      </c>
      <c r="N21" s="39"/>
    </row>
    <row r="22" spans="1:14">
      <c r="A22" s="37" t="s">
        <v>1049</v>
      </c>
      <c r="B22" s="36" t="s">
        <v>1048</v>
      </c>
      <c r="C22" s="37" t="s">
        <v>1631</v>
      </c>
      <c r="D22" s="37" t="s">
        <v>1632</v>
      </c>
      <c r="E22" s="37" t="s">
        <v>1050</v>
      </c>
      <c r="F22" s="37" t="s">
        <v>2081</v>
      </c>
      <c r="G22" s="37" t="s">
        <v>1050</v>
      </c>
      <c r="H22" s="37" t="s">
        <v>1051</v>
      </c>
      <c r="I22" s="37" t="s">
        <v>1050</v>
      </c>
      <c r="J22" s="37" t="s">
        <v>1051</v>
      </c>
      <c r="K22" s="37" t="s">
        <v>1050</v>
      </c>
      <c r="L22" s="37" t="s">
        <v>1598</v>
      </c>
      <c r="M22" s="37" t="s">
        <v>1598</v>
      </c>
      <c r="N22" s="39" t="s">
        <v>1052</v>
      </c>
    </row>
    <row r="23" spans="1:14">
      <c r="A23" s="37" t="s">
        <v>1054</v>
      </c>
      <c r="B23" s="36" t="s">
        <v>1053</v>
      </c>
      <c r="C23" s="37" t="s">
        <v>1633</v>
      </c>
      <c r="D23" s="37" t="s">
        <v>1634</v>
      </c>
      <c r="E23" s="37" t="s">
        <v>1050</v>
      </c>
      <c r="F23" s="37" t="s">
        <v>2082</v>
      </c>
      <c r="G23" s="37" t="s">
        <v>1050</v>
      </c>
      <c r="H23" s="37" t="s">
        <v>1051</v>
      </c>
      <c r="I23" s="37" t="s">
        <v>1050</v>
      </c>
      <c r="J23" s="37" t="s">
        <v>1051</v>
      </c>
      <c r="K23" s="37" t="s">
        <v>1050</v>
      </c>
      <c r="L23" s="37" t="s">
        <v>1598</v>
      </c>
      <c r="M23" s="37" t="s">
        <v>1598</v>
      </c>
      <c r="N23" s="39" t="s">
        <v>1055</v>
      </c>
    </row>
    <row r="24" spans="1:14">
      <c r="A24" s="37" t="s">
        <v>1062</v>
      </c>
      <c r="B24" s="36" t="s">
        <v>1061</v>
      </c>
      <c r="C24" s="37" t="s">
        <v>1637</v>
      </c>
      <c r="D24" s="37" t="s">
        <v>1638</v>
      </c>
      <c r="E24" s="37" t="s">
        <v>1994</v>
      </c>
      <c r="F24" s="37" t="s">
        <v>2083</v>
      </c>
      <c r="G24" s="37" t="s">
        <v>1059</v>
      </c>
      <c r="H24" s="37" t="s">
        <v>981</v>
      </c>
      <c r="I24" s="37" t="s">
        <v>1059</v>
      </c>
      <c r="J24" s="37" t="s">
        <v>981</v>
      </c>
      <c r="K24" s="37" t="s">
        <v>980</v>
      </c>
      <c r="L24" s="37" t="s">
        <v>1598</v>
      </c>
      <c r="M24" s="37" t="s">
        <v>1598</v>
      </c>
      <c r="N24" s="39" t="s">
        <v>1060</v>
      </c>
    </row>
    <row r="25" spans="1:14">
      <c r="A25" s="37" t="s">
        <v>1057</v>
      </c>
      <c r="B25" s="36" t="s">
        <v>1056</v>
      </c>
      <c r="C25" s="37" t="s">
        <v>1635</v>
      </c>
      <c r="D25" s="37" t="s">
        <v>1636</v>
      </c>
      <c r="E25" s="37" t="s">
        <v>1995</v>
      </c>
      <c r="F25" s="37" t="s">
        <v>1058</v>
      </c>
      <c r="G25" s="37" t="s">
        <v>1059</v>
      </c>
      <c r="H25" s="37" t="s">
        <v>981</v>
      </c>
      <c r="I25" s="37" t="s">
        <v>1059</v>
      </c>
      <c r="J25" s="37" t="s">
        <v>981</v>
      </c>
      <c r="K25" s="37" t="s">
        <v>980</v>
      </c>
      <c r="L25" s="37" t="s">
        <v>1598</v>
      </c>
      <c r="M25" s="37" t="s">
        <v>1598</v>
      </c>
      <c r="N25" s="39" t="s">
        <v>1060</v>
      </c>
    </row>
    <row r="26" spans="1:14">
      <c r="A26" s="37" t="s">
        <v>1064</v>
      </c>
      <c r="B26" s="36" t="s">
        <v>1063</v>
      </c>
      <c r="C26" s="37" t="s">
        <v>1639</v>
      </c>
      <c r="D26" s="37" t="s">
        <v>1640</v>
      </c>
      <c r="E26" s="37" t="s">
        <v>1996</v>
      </c>
      <c r="F26" s="37" t="s">
        <v>1065</v>
      </c>
      <c r="G26" s="37" t="s">
        <v>1066</v>
      </c>
      <c r="H26" s="37" t="s">
        <v>987</v>
      </c>
      <c r="I26" s="37" t="s">
        <v>1066</v>
      </c>
      <c r="J26" s="37" t="s">
        <v>987</v>
      </c>
      <c r="K26" s="37" t="s">
        <v>1067</v>
      </c>
      <c r="L26" s="37" t="s">
        <v>1598</v>
      </c>
      <c r="M26" s="37" t="s">
        <v>1594</v>
      </c>
      <c r="N26" s="39" t="s">
        <v>1883</v>
      </c>
    </row>
    <row r="27" spans="1:14">
      <c r="A27" s="37" t="s">
        <v>1104</v>
      </c>
      <c r="B27" s="36" t="s">
        <v>1103</v>
      </c>
      <c r="C27" s="37" t="s">
        <v>1661</v>
      </c>
      <c r="D27" s="37" t="s">
        <v>1662</v>
      </c>
      <c r="E27" s="37" t="s">
        <v>1997</v>
      </c>
      <c r="F27" s="37" t="s">
        <v>2084</v>
      </c>
      <c r="G27" s="37" t="s">
        <v>1066</v>
      </c>
      <c r="H27" s="37" t="s">
        <v>987</v>
      </c>
      <c r="I27" s="37" t="s">
        <v>1066</v>
      </c>
      <c r="J27" s="37" t="s">
        <v>987</v>
      </c>
      <c r="K27" s="37" t="s">
        <v>1067</v>
      </c>
      <c r="L27" s="37" t="s">
        <v>1598</v>
      </c>
      <c r="M27" s="37" t="s">
        <v>1598</v>
      </c>
      <c r="N27" s="39" t="s">
        <v>1105</v>
      </c>
    </row>
    <row r="28" spans="1:14">
      <c r="A28" s="37" t="s">
        <v>387</v>
      </c>
      <c r="B28" s="36" t="s">
        <v>1068</v>
      </c>
      <c r="C28" s="37" t="s">
        <v>1641</v>
      </c>
      <c r="D28" s="37" t="s">
        <v>1642</v>
      </c>
      <c r="E28" s="37" t="s">
        <v>1069</v>
      </c>
      <c r="F28" s="37" t="s">
        <v>2085</v>
      </c>
      <c r="G28" s="37" t="s">
        <v>990</v>
      </c>
      <c r="H28" s="37" t="s">
        <v>25</v>
      </c>
      <c r="I28" s="37" t="s">
        <v>1069</v>
      </c>
      <c r="J28" s="37" t="s">
        <v>25</v>
      </c>
      <c r="K28" s="37" t="s">
        <v>1069</v>
      </c>
      <c r="L28" s="37" t="s">
        <v>1598</v>
      </c>
      <c r="M28" s="37" t="s">
        <v>1598</v>
      </c>
      <c r="N28" s="39" t="s">
        <v>1070</v>
      </c>
    </row>
    <row r="29" spans="1:14">
      <c r="A29" s="37" t="s">
        <v>1072</v>
      </c>
      <c r="B29" s="36" t="s">
        <v>1071</v>
      </c>
      <c r="C29" s="37" t="s">
        <v>1643</v>
      </c>
      <c r="D29" s="37" t="s">
        <v>1644</v>
      </c>
      <c r="E29" s="37" t="s">
        <v>1998</v>
      </c>
      <c r="F29" s="37" t="s">
        <v>2086</v>
      </c>
      <c r="G29" s="37" t="s">
        <v>1073</v>
      </c>
      <c r="H29" s="37" t="s">
        <v>1051</v>
      </c>
      <c r="I29" s="37" t="s">
        <v>1073</v>
      </c>
      <c r="J29" s="37" t="s">
        <v>1051</v>
      </c>
      <c r="K29" s="37" t="s">
        <v>1073</v>
      </c>
      <c r="L29" s="37" t="s">
        <v>1598</v>
      </c>
      <c r="M29" s="37" t="s">
        <v>1598</v>
      </c>
      <c r="N29" s="39" t="s">
        <v>1074</v>
      </c>
    </row>
    <row r="30" spans="1:14">
      <c r="A30" s="37" t="s">
        <v>1076</v>
      </c>
      <c r="B30" s="36" t="s">
        <v>1075</v>
      </c>
      <c r="C30" s="37" t="s">
        <v>1645</v>
      </c>
      <c r="D30" s="37" t="s">
        <v>1646</v>
      </c>
      <c r="E30" s="37" t="s">
        <v>1998</v>
      </c>
      <c r="F30" s="37" t="s">
        <v>2087</v>
      </c>
      <c r="G30" s="37" t="s">
        <v>1073</v>
      </c>
      <c r="H30" s="37" t="s">
        <v>1051</v>
      </c>
      <c r="I30" s="37" t="s">
        <v>1073</v>
      </c>
      <c r="J30" s="37" t="s">
        <v>1051</v>
      </c>
      <c r="K30" s="37" t="s">
        <v>1073</v>
      </c>
      <c r="L30" s="37" t="s">
        <v>1598</v>
      </c>
      <c r="M30" s="37" t="s">
        <v>1598</v>
      </c>
      <c r="N30" s="39" t="s">
        <v>1074</v>
      </c>
    </row>
    <row r="31" spans="1:14">
      <c r="A31" s="37" t="s">
        <v>1078</v>
      </c>
      <c r="B31" s="36" t="s">
        <v>1077</v>
      </c>
      <c r="C31" s="37" t="s">
        <v>1647</v>
      </c>
      <c r="D31" s="37" t="s">
        <v>1648</v>
      </c>
      <c r="E31" s="37" t="s">
        <v>2458</v>
      </c>
      <c r="F31" s="37" t="s">
        <v>2088</v>
      </c>
      <c r="G31" s="37" t="s">
        <v>1079</v>
      </c>
      <c r="H31" s="37" t="s">
        <v>987</v>
      </c>
      <c r="I31" s="37" t="s">
        <v>1080</v>
      </c>
      <c r="J31" s="37" t="s">
        <v>987</v>
      </c>
      <c r="K31" s="37" t="s">
        <v>1079</v>
      </c>
      <c r="L31" s="37" t="s">
        <v>1598</v>
      </c>
      <c r="M31" s="37" t="s">
        <v>1598</v>
      </c>
      <c r="N31" s="39" t="s">
        <v>1081</v>
      </c>
    </row>
    <row r="32" spans="1:14">
      <c r="A32" s="37" t="s">
        <v>1083</v>
      </c>
      <c r="B32" s="36" t="s">
        <v>1082</v>
      </c>
      <c r="C32" s="37" t="s">
        <v>1649</v>
      </c>
      <c r="D32" s="37" t="s">
        <v>1650</v>
      </c>
      <c r="E32" s="37" t="s">
        <v>2458</v>
      </c>
      <c r="F32" s="37" t="s">
        <v>2089</v>
      </c>
      <c r="G32" s="37" t="s">
        <v>1079</v>
      </c>
      <c r="H32" s="37" t="s">
        <v>987</v>
      </c>
      <c r="I32" s="37" t="s">
        <v>1080</v>
      </c>
      <c r="J32" s="37" t="s">
        <v>987</v>
      </c>
      <c r="K32" s="37" t="s">
        <v>1079</v>
      </c>
      <c r="L32" s="37" t="s">
        <v>1598</v>
      </c>
      <c r="M32" s="37" t="s">
        <v>1598</v>
      </c>
      <c r="N32" s="39" t="s">
        <v>1081</v>
      </c>
    </row>
    <row r="33" spans="1:14">
      <c r="A33" s="37" t="s">
        <v>1089</v>
      </c>
      <c r="B33" s="36" t="s">
        <v>1088</v>
      </c>
      <c r="C33" s="37" t="s">
        <v>1651</v>
      </c>
      <c r="D33" s="37" t="s">
        <v>1652</v>
      </c>
      <c r="E33" s="37" t="s">
        <v>1086</v>
      </c>
      <c r="F33" s="37" t="s">
        <v>2090</v>
      </c>
      <c r="G33" s="37" t="s">
        <v>1084</v>
      </c>
      <c r="H33" s="37" t="s">
        <v>1085</v>
      </c>
      <c r="I33" s="37" t="s">
        <v>1086</v>
      </c>
      <c r="J33" s="37" t="s">
        <v>1087</v>
      </c>
      <c r="K33" s="37" t="s">
        <v>1086</v>
      </c>
      <c r="L33" s="37" t="s">
        <v>1598</v>
      </c>
      <c r="M33" s="37" t="s">
        <v>1598</v>
      </c>
      <c r="N33" s="39" t="s">
        <v>1090</v>
      </c>
    </row>
    <row r="34" spans="1:14">
      <c r="A34" s="37" t="s">
        <v>1092</v>
      </c>
      <c r="B34" s="36" t="s">
        <v>1091</v>
      </c>
      <c r="C34" s="37" t="s">
        <v>1653</v>
      </c>
      <c r="D34" s="37" t="s">
        <v>1654</v>
      </c>
      <c r="E34" s="37" t="s">
        <v>1999</v>
      </c>
      <c r="F34" s="37" t="s">
        <v>2091</v>
      </c>
      <c r="G34" s="37" t="s">
        <v>1059</v>
      </c>
      <c r="H34" s="37" t="s">
        <v>981</v>
      </c>
      <c r="I34" s="37" t="s">
        <v>1093</v>
      </c>
      <c r="J34" s="37" t="s">
        <v>981</v>
      </c>
      <c r="K34" s="37" t="s">
        <v>1093</v>
      </c>
      <c r="L34" s="37" t="s">
        <v>1598</v>
      </c>
      <c r="M34" s="37" t="s">
        <v>1598</v>
      </c>
      <c r="N34" s="39" t="s">
        <v>2459</v>
      </c>
    </row>
    <row r="35" spans="1:14">
      <c r="A35" s="37" t="s">
        <v>1095</v>
      </c>
      <c r="B35" s="36" t="s">
        <v>1094</v>
      </c>
      <c r="C35" s="37" t="s">
        <v>1655</v>
      </c>
      <c r="D35" s="37" t="s">
        <v>1656</v>
      </c>
      <c r="E35" s="37" t="s">
        <v>2000</v>
      </c>
      <c r="F35" s="37" t="s">
        <v>3121</v>
      </c>
      <c r="G35" s="37" t="s">
        <v>1059</v>
      </c>
      <c r="H35" s="37" t="s">
        <v>981</v>
      </c>
      <c r="I35" s="37" t="s">
        <v>1093</v>
      </c>
      <c r="J35" s="37" t="s">
        <v>981</v>
      </c>
      <c r="K35" s="37" t="s">
        <v>1093</v>
      </c>
      <c r="L35" s="37" t="s">
        <v>1598</v>
      </c>
      <c r="M35" s="37" t="s">
        <v>1598</v>
      </c>
      <c r="N35" s="39" t="s">
        <v>2459</v>
      </c>
    </row>
    <row r="36" spans="1:14">
      <c r="A36" s="37" t="s">
        <v>1097</v>
      </c>
      <c r="B36" s="36" t="s">
        <v>1096</v>
      </c>
      <c r="C36" s="37" t="s">
        <v>1657</v>
      </c>
      <c r="D36" s="37" t="s">
        <v>1658</v>
      </c>
      <c r="E36" s="37" t="s">
        <v>2001</v>
      </c>
      <c r="F36" s="37" t="s">
        <v>2092</v>
      </c>
      <c r="G36" s="37" t="s">
        <v>1098</v>
      </c>
      <c r="H36" s="37" t="s">
        <v>1051</v>
      </c>
      <c r="I36" s="37" t="s">
        <v>1099</v>
      </c>
      <c r="J36" s="37" t="s">
        <v>1051</v>
      </c>
      <c r="K36" s="37" t="s">
        <v>1099</v>
      </c>
      <c r="L36" s="37" t="s">
        <v>1598</v>
      </c>
      <c r="M36" s="37" t="s">
        <v>1598</v>
      </c>
      <c r="N36" s="39" t="s">
        <v>1100</v>
      </c>
    </row>
    <row r="37" spans="1:14">
      <c r="A37" s="37" t="s">
        <v>1102</v>
      </c>
      <c r="B37" s="36" t="s">
        <v>1101</v>
      </c>
      <c r="C37" s="37" t="s">
        <v>1659</v>
      </c>
      <c r="D37" s="37" t="s">
        <v>1660</v>
      </c>
      <c r="E37" s="37" t="s">
        <v>2002</v>
      </c>
      <c r="F37" s="37" t="s">
        <v>2093</v>
      </c>
      <c r="G37" s="37" t="s">
        <v>1098</v>
      </c>
      <c r="H37" s="37" t="s">
        <v>1051</v>
      </c>
      <c r="I37" s="37" t="s">
        <v>1099</v>
      </c>
      <c r="J37" s="37" t="s">
        <v>1051</v>
      </c>
      <c r="K37" s="37" t="s">
        <v>1099</v>
      </c>
      <c r="L37" s="37" t="s">
        <v>1598</v>
      </c>
      <c r="M37" s="37" t="s">
        <v>1598</v>
      </c>
      <c r="N37" s="39" t="s">
        <v>1100</v>
      </c>
    </row>
    <row r="38" spans="1:14">
      <c r="A38" s="37" t="s">
        <v>1107</v>
      </c>
      <c r="B38" s="36" t="s">
        <v>1106</v>
      </c>
      <c r="C38" s="37" t="s">
        <v>1663</v>
      </c>
      <c r="D38" s="37" t="s">
        <v>1664</v>
      </c>
      <c r="E38" s="37" t="s">
        <v>1982</v>
      </c>
      <c r="F38" s="37" t="s">
        <v>2094</v>
      </c>
      <c r="G38" s="37" t="s">
        <v>1066</v>
      </c>
      <c r="H38" s="37" t="s">
        <v>987</v>
      </c>
      <c r="I38" s="37" t="s">
        <v>1066</v>
      </c>
      <c r="J38" s="37" t="s">
        <v>987</v>
      </c>
      <c r="L38" s="37" t="s">
        <v>1598</v>
      </c>
      <c r="M38" s="37" t="s">
        <v>1594</v>
      </c>
      <c r="N38" s="39" t="s">
        <v>1884</v>
      </c>
    </row>
    <row r="39" spans="1:14">
      <c r="A39" s="37" t="s">
        <v>1107</v>
      </c>
      <c r="B39" s="36" t="s">
        <v>1108</v>
      </c>
      <c r="C39" s="37" t="s">
        <v>1663</v>
      </c>
      <c r="D39" s="37" t="s">
        <v>1664</v>
      </c>
      <c r="E39" s="37" t="s">
        <v>1982</v>
      </c>
      <c r="F39" s="37" t="s">
        <v>2094</v>
      </c>
      <c r="G39" s="37" t="s">
        <v>1066</v>
      </c>
      <c r="H39" s="37" t="s">
        <v>987</v>
      </c>
      <c r="I39" s="37" t="s">
        <v>1066</v>
      </c>
      <c r="J39" s="37" t="s">
        <v>987</v>
      </c>
      <c r="L39" s="37" t="s">
        <v>1598</v>
      </c>
      <c r="M39" s="37" t="s">
        <v>1594</v>
      </c>
      <c r="N39" s="39" t="s">
        <v>1884</v>
      </c>
    </row>
    <row r="40" spans="1:14">
      <c r="A40" s="37" t="s">
        <v>1110</v>
      </c>
      <c r="B40" s="36" t="s">
        <v>1109</v>
      </c>
      <c r="C40" s="37" t="s">
        <v>1665</v>
      </c>
      <c r="D40" s="37" t="s">
        <v>1666</v>
      </c>
      <c r="E40" s="37" t="s">
        <v>2003</v>
      </c>
      <c r="F40" s="37" t="s">
        <v>2095</v>
      </c>
      <c r="G40" s="37" t="s">
        <v>1079</v>
      </c>
      <c r="H40" s="37" t="s">
        <v>987</v>
      </c>
      <c r="I40" s="37" t="s">
        <v>1079</v>
      </c>
      <c r="J40" s="37" t="s">
        <v>987</v>
      </c>
      <c r="K40" s="37" t="s">
        <v>1079</v>
      </c>
      <c r="L40" s="37" t="s">
        <v>1598</v>
      </c>
      <c r="M40" s="37" t="s">
        <v>1598</v>
      </c>
      <c r="N40" s="39" t="s">
        <v>1111</v>
      </c>
    </row>
    <row r="41" spans="1:14">
      <c r="A41" s="37" t="s">
        <v>1113</v>
      </c>
      <c r="B41" s="36" t="s">
        <v>1112</v>
      </c>
      <c r="C41" s="37" t="s">
        <v>1667</v>
      </c>
      <c r="D41" s="37" t="s">
        <v>1668</v>
      </c>
      <c r="E41" s="37" t="s">
        <v>2004</v>
      </c>
      <c r="F41" s="37" t="s">
        <v>2096</v>
      </c>
      <c r="G41" s="37" t="s">
        <v>1079</v>
      </c>
      <c r="H41" s="37" t="s">
        <v>987</v>
      </c>
      <c r="I41" s="37" t="s">
        <v>1079</v>
      </c>
      <c r="J41" s="37" t="s">
        <v>987</v>
      </c>
      <c r="K41" s="37" t="s">
        <v>1079</v>
      </c>
      <c r="L41" s="37" t="s">
        <v>1598</v>
      </c>
      <c r="M41" s="37" t="s">
        <v>1598</v>
      </c>
      <c r="N41" s="39" t="s">
        <v>1111</v>
      </c>
    </row>
    <row r="42" spans="1:14">
      <c r="A42" s="37" t="s">
        <v>1115</v>
      </c>
      <c r="B42" s="36" t="s">
        <v>1114</v>
      </c>
      <c r="C42" s="37" t="s">
        <v>1669</v>
      </c>
      <c r="D42" s="37" t="s">
        <v>1670</v>
      </c>
      <c r="E42" s="37" t="s">
        <v>2005</v>
      </c>
      <c r="F42" s="37" t="s">
        <v>1116</v>
      </c>
      <c r="G42" s="37" t="s">
        <v>1117</v>
      </c>
      <c r="H42" s="37" t="s">
        <v>997</v>
      </c>
      <c r="I42" s="37" t="s">
        <v>1118</v>
      </c>
      <c r="J42" s="37" t="s">
        <v>997</v>
      </c>
      <c r="K42" s="37" t="s">
        <v>1118</v>
      </c>
      <c r="L42" s="37" t="s">
        <v>1598</v>
      </c>
      <c r="M42" s="37" t="s">
        <v>1598</v>
      </c>
      <c r="N42" s="39" t="s">
        <v>1119</v>
      </c>
    </row>
    <row r="43" spans="1:14">
      <c r="A43" s="37" t="s">
        <v>1121</v>
      </c>
      <c r="B43" s="36" t="s">
        <v>1120</v>
      </c>
      <c r="C43" s="37" t="s">
        <v>1671</v>
      </c>
      <c r="D43" s="37" t="s">
        <v>1672</v>
      </c>
      <c r="E43" s="37" t="s">
        <v>2005</v>
      </c>
      <c r="F43" s="37" t="s">
        <v>2097</v>
      </c>
      <c r="G43" s="37" t="s">
        <v>1117</v>
      </c>
      <c r="H43" s="37" t="s">
        <v>997</v>
      </c>
      <c r="I43" s="37" t="s">
        <v>1118</v>
      </c>
      <c r="J43" s="37" t="s">
        <v>997</v>
      </c>
      <c r="K43" s="37" t="s">
        <v>1118</v>
      </c>
      <c r="L43" s="37" t="s">
        <v>1598</v>
      </c>
      <c r="M43" s="37" t="s">
        <v>1598</v>
      </c>
      <c r="N43" s="39" t="s">
        <v>1119</v>
      </c>
    </row>
    <row r="44" spans="1:14">
      <c r="A44" s="37" t="s">
        <v>1782</v>
      </c>
      <c r="B44" s="36" t="s">
        <v>1299</v>
      </c>
      <c r="C44" s="37" t="s">
        <v>1783</v>
      </c>
      <c r="D44" s="37" t="s">
        <v>1784</v>
      </c>
      <c r="E44" s="37" t="s">
        <v>2460</v>
      </c>
      <c r="F44" s="37" t="s">
        <v>1300</v>
      </c>
      <c r="G44" s="37" t="s">
        <v>1066</v>
      </c>
      <c r="H44" s="37" t="s">
        <v>987</v>
      </c>
      <c r="I44" s="37" t="s">
        <v>1066</v>
      </c>
      <c r="J44" s="37" t="s">
        <v>987</v>
      </c>
      <c r="K44" s="37" t="s">
        <v>1067</v>
      </c>
      <c r="L44" s="37" t="s">
        <v>1594</v>
      </c>
      <c r="M44" s="37" t="s">
        <v>1598</v>
      </c>
      <c r="N44" s="39"/>
    </row>
    <row r="45" spans="1:14">
      <c r="A45" s="37" t="s">
        <v>1127</v>
      </c>
      <c r="B45" s="36" t="s">
        <v>1126</v>
      </c>
      <c r="C45" s="37" t="s">
        <v>1675</v>
      </c>
      <c r="D45" s="37" t="s">
        <v>1676</v>
      </c>
      <c r="E45" s="37" t="s">
        <v>2006</v>
      </c>
      <c r="F45" s="37" t="s">
        <v>2098</v>
      </c>
      <c r="G45" s="37" t="s">
        <v>1124</v>
      </c>
      <c r="H45" s="37" t="s">
        <v>1003</v>
      </c>
      <c r="I45" s="37" t="s">
        <v>1124</v>
      </c>
      <c r="J45" s="37" t="s">
        <v>1003</v>
      </c>
      <c r="K45" s="37" t="s">
        <v>1124</v>
      </c>
      <c r="L45" s="37" t="s">
        <v>1598</v>
      </c>
      <c r="M45" s="37" t="s">
        <v>1594</v>
      </c>
      <c r="N45" s="39" t="s">
        <v>1128</v>
      </c>
    </row>
    <row r="46" spans="1:14">
      <c r="A46" s="37" t="s">
        <v>1123</v>
      </c>
      <c r="B46" s="36" t="s">
        <v>1122</v>
      </c>
      <c r="C46" s="37" t="s">
        <v>1673</v>
      </c>
      <c r="D46" s="37" t="s">
        <v>1674</v>
      </c>
      <c r="E46" s="37" t="s">
        <v>2461</v>
      </c>
      <c r="F46" s="37" t="s">
        <v>2099</v>
      </c>
      <c r="G46" s="37" t="s">
        <v>1124</v>
      </c>
      <c r="H46" s="37" t="s">
        <v>1003</v>
      </c>
      <c r="I46" s="37" t="s">
        <v>1124</v>
      </c>
      <c r="J46" s="37" t="s">
        <v>1003</v>
      </c>
      <c r="K46" s="37" t="s">
        <v>1124</v>
      </c>
      <c r="L46" s="37" t="s">
        <v>1598</v>
      </c>
      <c r="M46" s="37" t="s">
        <v>1598</v>
      </c>
      <c r="N46" s="39" t="s">
        <v>1125</v>
      </c>
    </row>
    <row r="47" spans="1:14">
      <c r="A47" s="37" t="s">
        <v>1130</v>
      </c>
      <c r="B47" s="36" t="s">
        <v>1129</v>
      </c>
      <c r="C47" s="37" t="s">
        <v>1677</v>
      </c>
      <c r="D47" s="37" t="s">
        <v>1678</v>
      </c>
      <c r="E47" s="37" t="s">
        <v>2007</v>
      </c>
      <c r="F47" s="37" t="s">
        <v>2100</v>
      </c>
      <c r="G47" s="37" t="s">
        <v>1009</v>
      </c>
      <c r="H47" s="37" t="s">
        <v>997</v>
      </c>
      <c r="I47" s="37" t="s">
        <v>1131</v>
      </c>
      <c r="J47" s="37" t="s">
        <v>997</v>
      </c>
      <c r="K47" s="37" t="s">
        <v>1009</v>
      </c>
      <c r="L47" s="37" t="s">
        <v>1598</v>
      </c>
      <c r="M47" s="37" t="s">
        <v>1598</v>
      </c>
      <c r="N47" s="39" t="s">
        <v>1132</v>
      </c>
    </row>
    <row r="48" spans="1:14">
      <c r="A48" s="37" t="s">
        <v>1137</v>
      </c>
      <c r="B48" s="36" t="s">
        <v>1136</v>
      </c>
      <c r="C48" s="37" t="s">
        <v>1681</v>
      </c>
      <c r="D48" s="37" t="s">
        <v>1682</v>
      </c>
      <c r="E48" s="37" t="s">
        <v>2008</v>
      </c>
      <c r="F48" s="37" t="s">
        <v>2101</v>
      </c>
      <c r="G48" s="37" t="s">
        <v>1098</v>
      </c>
      <c r="H48" s="37" t="s">
        <v>1051</v>
      </c>
      <c r="I48" s="37" t="s">
        <v>1098</v>
      </c>
      <c r="J48" s="37" t="s">
        <v>1051</v>
      </c>
      <c r="K48" s="37" t="s">
        <v>1098</v>
      </c>
      <c r="L48" s="37" t="s">
        <v>1598</v>
      </c>
      <c r="M48" s="37" t="s">
        <v>1598</v>
      </c>
      <c r="N48" s="39" t="s">
        <v>1885</v>
      </c>
    </row>
    <row r="49" spans="1:14">
      <c r="A49" s="37" t="s">
        <v>1134</v>
      </c>
      <c r="B49" s="36" t="s">
        <v>1133</v>
      </c>
      <c r="C49" s="37" t="s">
        <v>1679</v>
      </c>
      <c r="D49" s="37" t="s">
        <v>1680</v>
      </c>
      <c r="E49" s="37" t="s">
        <v>2009</v>
      </c>
      <c r="F49" s="37" t="s">
        <v>2102</v>
      </c>
      <c r="G49" s="37" t="s">
        <v>1098</v>
      </c>
      <c r="H49" s="37" t="s">
        <v>1051</v>
      </c>
      <c r="I49" s="37" t="s">
        <v>1098</v>
      </c>
      <c r="J49" s="37" t="s">
        <v>1051</v>
      </c>
      <c r="K49" s="37" t="s">
        <v>1098</v>
      </c>
      <c r="L49" s="37" t="s">
        <v>1598</v>
      </c>
      <c r="M49" s="37" t="s">
        <v>1598</v>
      </c>
      <c r="N49" s="39" t="s">
        <v>1135</v>
      </c>
    </row>
    <row r="50" spans="1:14">
      <c r="A50" s="37" t="s">
        <v>1139</v>
      </c>
      <c r="B50" s="36" t="s">
        <v>1138</v>
      </c>
      <c r="C50" s="37" t="s">
        <v>1683</v>
      </c>
      <c r="D50" s="37" t="s">
        <v>1684</v>
      </c>
      <c r="E50" s="37" t="s">
        <v>2010</v>
      </c>
      <c r="F50" s="37" t="s">
        <v>1140</v>
      </c>
      <c r="G50" s="37" t="s">
        <v>1141</v>
      </c>
      <c r="H50" s="37" t="s">
        <v>1142</v>
      </c>
      <c r="I50" s="37" t="s">
        <v>1143</v>
      </c>
      <c r="J50" s="37" t="s">
        <v>1030</v>
      </c>
      <c r="K50" s="37" t="s">
        <v>1142</v>
      </c>
      <c r="L50" s="37" t="s">
        <v>1598</v>
      </c>
      <c r="M50" s="37" t="s">
        <v>1598</v>
      </c>
      <c r="N50" s="39" t="s">
        <v>1144</v>
      </c>
    </row>
    <row r="51" spans="1:14">
      <c r="A51" s="37" t="s">
        <v>1146</v>
      </c>
      <c r="B51" s="36" t="s">
        <v>1145</v>
      </c>
      <c r="C51" s="37" t="s">
        <v>1685</v>
      </c>
      <c r="D51" s="37" t="s">
        <v>1686</v>
      </c>
      <c r="E51" s="37" t="s">
        <v>2011</v>
      </c>
      <c r="F51" s="37" t="s">
        <v>2103</v>
      </c>
      <c r="G51" s="37" t="s">
        <v>1141</v>
      </c>
      <c r="H51" s="37" t="s">
        <v>1142</v>
      </c>
      <c r="I51" s="37" t="s">
        <v>1143</v>
      </c>
      <c r="J51" s="37" t="s">
        <v>1030</v>
      </c>
      <c r="K51" s="37" t="s">
        <v>1142</v>
      </c>
      <c r="L51" s="37" t="s">
        <v>1598</v>
      </c>
      <c r="M51" s="37" t="s">
        <v>1598</v>
      </c>
      <c r="N51" s="39" t="s">
        <v>1144</v>
      </c>
    </row>
    <row r="52" spans="1:14">
      <c r="A52" s="37" t="s">
        <v>1152</v>
      </c>
      <c r="B52" s="36" t="s">
        <v>1151</v>
      </c>
      <c r="C52" s="37" t="s">
        <v>1689</v>
      </c>
      <c r="D52" s="37" t="s">
        <v>1690</v>
      </c>
      <c r="E52" s="37" t="s">
        <v>2011</v>
      </c>
      <c r="F52" s="37" t="s">
        <v>2104</v>
      </c>
      <c r="G52" s="37" t="s">
        <v>1149</v>
      </c>
      <c r="H52" s="37" t="s">
        <v>1142</v>
      </c>
      <c r="I52" s="37" t="s">
        <v>1149</v>
      </c>
      <c r="J52" s="37" t="s">
        <v>1030</v>
      </c>
      <c r="K52" s="37" t="s">
        <v>1142</v>
      </c>
      <c r="L52" s="37" t="s">
        <v>1598</v>
      </c>
      <c r="M52" s="37" t="s">
        <v>1598</v>
      </c>
      <c r="N52" s="39" t="s">
        <v>1153</v>
      </c>
    </row>
    <row r="53" spans="1:14">
      <c r="A53" s="37" t="s">
        <v>1148</v>
      </c>
      <c r="B53" s="36" t="s">
        <v>1147</v>
      </c>
      <c r="C53" s="37" t="s">
        <v>1687</v>
      </c>
      <c r="D53" s="37" t="s">
        <v>1688</v>
      </c>
      <c r="E53" s="37" t="s">
        <v>2012</v>
      </c>
      <c r="F53" s="37" t="s">
        <v>2105</v>
      </c>
      <c r="G53" s="37" t="s">
        <v>1149</v>
      </c>
      <c r="H53" s="37" t="s">
        <v>1142</v>
      </c>
      <c r="I53" s="37" t="s">
        <v>1149</v>
      </c>
      <c r="J53" s="37" t="s">
        <v>1030</v>
      </c>
      <c r="K53" s="37" t="s">
        <v>1142</v>
      </c>
      <c r="L53" s="37" t="s">
        <v>1598</v>
      </c>
      <c r="M53" s="37" t="s">
        <v>1594</v>
      </c>
      <c r="N53" s="39" t="s">
        <v>1150</v>
      </c>
    </row>
    <row r="54" spans="1:14">
      <c r="A54" s="37" t="s">
        <v>1155</v>
      </c>
      <c r="B54" s="36" t="s">
        <v>1154</v>
      </c>
      <c r="C54" s="37" t="s">
        <v>1691</v>
      </c>
      <c r="D54" s="37" t="s">
        <v>1692</v>
      </c>
      <c r="E54" s="37" t="s">
        <v>2462</v>
      </c>
      <c r="F54" s="37" t="s">
        <v>2106</v>
      </c>
      <c r="G54" s="37" t="s">
        <v>1141</v>
      </c>
      <c r="H54" s="37" t="s">
        <v>1142</v>
      </c>
      <c r="I54" s="37" t="s">
        <v>1156</v>
      </c>
      <c r="J54" s="37" t="s">
        <v>1030</v>
      </c>
      <c r="K54" s="37" t="s">
        <v>1142</v>
      </c>
      <c r="L54" s="37" t="s">
        <v>1598</v>
      </c>
      <c r="M54" s="37" t="s">
        <v>1598</v>
      </c>
      <c r="N54" s="39" t="s">
        <v>1157</v>
      </c>
    </row>
    <row r="55" spans="1:14">
      <c r="A55" s="37" t="s">
        <v>380</v>
      </c>
      <c r="B55" s="36" t="s">
        <v>1158</v>
      </c>
      <c r="C55" s="37" t="s">
        <v>1693</v>
      </c>
      <c r="D55" s="37" t="s">
        <v>1694</v>
      </c>
      <c r="E55" s="37" t="s">
        <v>2015</v>
      </c>
      <c r="F55" s="37" t="s">
        <v>1159</v>
      </c>
      <c r="G55" s="37" t="s">
        <v>1021</v>
      </c>
      <c r="H55" s="37" t="s">
        <v>25</v>
      </c>
      <c r="I55" s="37" t="s">
        <v>1160</v>
      </c>
      <c r="J55" s="37" t="s">
        <v>25</v>
      </c>
      <c r="K55" s="37" t="s">
        <v>1021</v>
      </c>
      <c r="L55" s="37" t="s">
        <v>1598</v>
      </c>
      <c r="M55" s="37" t="s">
        <v>1598</v>
      </c>
      <c r="N55" s="39" t="s">
        <v>3001</v>
      </c>
    </row>
    <row r="56" spans="1:14">
      <c r="A56" s="37" t="s">
        <v>381</v>
      </c>
      <c r="B56" s="36" t="s">
        <v>1161</v>
      </c>
      <c r="C56" s="37" t="s">
        <v>1695</v>
      </c>
      <c r="D56" s="37" t="s">
        <v>1696</v>
      </c>
      <c r="E56" s="37" t="s">
        <v>2015</v>
      </c>
      <c r="F56" s="37" t="s">
        <v>2107</v>
      </c>
      <c r="G56" s="37" t="s">
        <v>1021</v>
      </c>
      <c r="H56" s="37" t="s">
        <v>25</v>
      </c>
      <c r="I56" s="37" t="s">
        <v>1160</v>
      </c>
      <c r="J56" s="37" t="s">
        <v>25</v>
      </c>
      <c r="K56" s="37" t="s">
        <v>1021</v>
      </c>
      <c r="L56" s="37" t="s">
        <v>1598</v>
      </c>
      <c r="M56" s="37" t="s">
        <v>1598</v>
      </c>
      <c r="N56" s="39" t="s">
        <v>3001</v>
      </c>
    </row>
    <row r="57" spans="1:14">
      <c r="A57" s="37" t="s">
        <v>379</v>
      </c>
      <c r="B57" s="36" t="s">
        <v>1162</v>
      </c>
      <c r="C57" s="37" t="s">
        <v>1697</v>
      </c>
      <c r="D57" s="37" t="s">
        <v>1698</v>
      </c>
      <c r="E57" s="37" t="s">
        <v>2016</v>
      </c>
      <c r="F57" s="37" t="s">
        <v>780</v>
      </c>
      <c r="G57" s="37" t="s">
        <v>1021</v>
      </c>
      <c r="H57" s="37" t="s">
        <v>25</v>
      </c>
      <c r="I57" s="37" t="s">
        <v>1163</v>
      </c>
      <c r="J57" s="37" t="s">
        <v>25</v>
      </c>
      <c r="K57" s="37" t="s">
        <v>1021</v>
      </c>
      <c r="L57" s="37" t="s">
        <v>1598</v>
      </c>
      <c r="M57" s="37" t="s">
        <v>1598</v>
      </c>
      <c r="N57" s="39" t="s">
        <v>3001</v>
      </c>
    </row>
    <row r="58" spans="1:14">
      <c r="A58" s="37" t="s">
        <v>382</v>
      </c>
      <c r="B58" s="36" t="s">
        <v>1164</v>
      </c>
      <c r="C58" s="37" t="s">
        <v>1699</v>
      </c>
      <c r="D58" s="37" t="s">
        <v>1700</v>
      </c>
      <c r="E58" s="37" t="s">
        <v>2017</v>
      </c>
      <c r="F58" s="37" t="s">
        <v>2108</v>
      </c>
      <c r="G58" s="37" t="s">
        <v>1021</v>
      </c>
      <c r="H58" s="37" t="s">
        <v>25</v>
      </c>
      <c r="I58" s="37" t="s">
        <v>1163</v>
      </c>
      <c r="J58" s="37" t="s">
        <v>25</v>
      </c>
      <c r="K58" s="37" t="s">
        <v>1021</v>
      </c>
      <c r="L58" s="37" t="s">
        <v>1598</v>
      </c>
      <c r="M58" s="37" t="s">
        <v>1594</v>
      </c>
      <c r="N58" s="39" t="s">
        <v>3001</v>
      </c>
    </row>
    <row r="59" spans="1:14">
      <c r="A59" s="37" t="s">
        <v>376</v>
      </c>
      <c r="B59" s="36" t="s">
        <v>1165</v>
      </c>
      <c r="C59" s="37" t="s">
        <v>1701</v>
      </c>
      <c r="D59" s="37" t="s">
        <v>1702</v>
      </c>
      <c r="E59" s="37" t="s">
        <v>2020</v>
      </c>
      <c r="F59" s="37" t="s">
        <v>2109</v>
      </c>
      <c r="G59" s="37" t="s">
        <v>1166</v>
      </c>
      <c r="H59" s="37" t="s">
        <v>25</v>
      </c>
      <c r="I59" s="37" t="s">
        <v>1166</v>
      </c>
      <c r="J59" s="37" t="s">
        <v>25</v>
      </c>
      <c r="K59" s="37" t="s">
        <v>1166</v>
      </c>
      <c r="L59" s="37" t="s">
        <v>1598</v>
      </c>
      <c r="M59" s="37" t="s">
        <v>1598</v>
      </c>
      <c r="N59" s="39" t="s">
        <v>3002</v>
      </c>
    </row>
    <row r="60" spans="1:14">
      <c r="A60" s="37" t="s">
        <v>375</v>
      </c>
      <c r="B60" s="36" t="s">
        <v>1167</v>
      </c>
      <c r="C60" s="37" t="s">
        <v>1703</v>
      </c>
      <c r="D60" s="37" t="s">
        <v>1704</v>
      </c>
      <c r="E60" s="37" t="s">
        <v>2019</v>
      </c>
      <c r="F60" s="37" t="s">
        <v>2110</v>
      </c>
      <c r="G60" s="37" t="s">
        <v>1166</v>
      </c>
      <c r="H60" s="37" t="s">
        <v>25</v>
      </c>
      <c r="I60" s="37" t="s">
        <v>1166</v>
      </c>
      <c r="J60" s="37" t="s">
        <v>25</v>
      </c>
      <c r="K60" s="37" t="s">
        <v>1166</v>
      </c>
      <c r="L60" s="37" t="s">
        <v>1598</v>
      </c>
      <c r="M60" s="37" t="s">
        <v>1598</v>
      </c>
      <c r="N60" s="39" t="s">
        <v>3003</v>
      </c>
    </row>
    <row r="61" spans="1:14">
      <c r="A61" s="37" t="s">
        <v>377</v>
      </c>
      <c r="B61" s="36" t="s">
        <v>1168</v>
      </c>
      <c r="C61" s="37" t="s">
        <v>1705</v>
      </c>
      <c r="D61" s="37" t="s">
        <v>1706</v>
      </c>
      <c r="E61" s="37" t="s">
        <v>2018</v>
      </c>
      <c r="F61" s="37" t="s">
        <v>2111</v>
      </c>
      <c r="G61" s="37" t="s">
        <v>1166</v>
      </c>
      <c r="H61" s="37" t="s">
        <v>25</v>
      </c>
      <c r="I61" s="37" t="s">
        <v>1169</v>
      </c>
      <c r="J61" s="37" t="s">
        <v>25</v>
      </c>
      <c r="K61" s="37" t="s">
        <v>1166</v>
      </c>
      <c r="L61" s="37" t="s">
        <v>1598</v>
      </c>
      <c r="M61" s="37" t="s">
        <v>1598</v>
      </c>
      <c r="N61" s="39" t="s">
        <v>3004</v>
      </c>
    </row>
    <row r="62" spans="1:14">
      <c r="A62" s="37" t="s">
        <v>378</v>
      </c>
      <c r="B62" s="36" t="s">
        <v>1170</v>
      </c>
      <c r="C62" s="37" t="s">
        <v>1707</v>
      </c>
      <c r="D62" s="37" t="s">
        <v>1708</v>
      </c>
      <c r="E62" s="37" t="s">
        <v>2021</v>
      </c>
      <c r="F62" s="37" t="s">
        <v>779</v>
      </c>
      <c r="G62" s="37" t="s">
        <v>1166</v>
      </c>
      <c r="H62" s="37" t="s">
        <v>25</v>
      </c>
      <c r="I62" s="37" t="s">
        <v>1169</v>
      </c>
      <c r="J62" s="37" t="s">
        <v>25</v>
      </c>
      <c r="K62" s="37" t="s">
        <v>1166</v>
      </c>
      <c r="L62" s="37" t="s">
        <v>1598</v>
      </c>
      <c r="M62" s="37" t="s">
        <v>1598</v>
      </c>
      <c r="N62" s="39" t="s">
        <v>3004</v>
      </c>
    </row>
    <row r="63" spans="1:14">
      <c r="A63" s="37" t="s">
        <v>1172</v>
      </c>
      <c r="B63" s="36" t="s">
        <v>1171</v>
      </c>
      <c r="C63" s="37" t="s">
        <v>1709</v>
      </c>
      <c r="D63" s="37" t="s">
        <v>1710</v>
      </c>
      <c r="E63" s="37" t="s">
        <v>2022</v>
      </c>
      <c r="F63" s="37" t="s">
        <v>2112</v>
      </c>
      <c r="G63" s="37" t="s">
        <v>1124</v>
      </c>
      <c r="H63" s="37" t="s">
        <v>1003</v>
      </c>
      <c r="I63" s="37" t="s">
        <v>1173</v>
      </c>
      <c r="J63" s="37" t="s">
        <v>1003</v>
      </c>
      <c r="K63" s="37" t="s">
        <v>1124</v>
      </c>
      <c r="L63" s="37" t="s">
        <v>1598</v>
      </c>
      <c r="M63" s="37" t="s">
        <v>1598</v>
      </c>
      <c r="N63" s="39" t="s">
        <v>1174</v>
      </c>
    </row>
    <row r="64" spans="1:14">
      <c r="A64" s="37" t="s">
        <v>1176</v>
      </c>
      <c r="B64" s="36" t="s">
        <v>1175</v>
      </c>
      <c r="C64" s="37" t="s">
        <v>2463</v>
      </c>
      <c r="D64" s="37" t="s">
        <v>1711</v>
      </c>
      <c r="E64" s="37" t="s">
        <v>2022</v>
      </c>
      <c r="F64" s="37" t="s">
        <v>1177</v>
      </c>
      <c r="G64" s="37" t="s">
        <v>1124</v>
      </c>
      <c r="H64" s="37" t="s">
        <v>1003</v>
      </c>
      <c r="I64" s="37" t="s">
        <v>1173</v>
      </c>
      <c r="J64" s="37" t="s">
        <v>1003</v>
      </c>
      <c r="K64" s="37" t="s">
        <v>1124</v>
      </c>
      <c r="L64" s="37" t="s">
        <v>1598</v>
      </c>
      <c r="M64" s="37" t="s">
        <v>1598</v>
      </c>
      <c r="N64" s="39" t="s">
        <v>1174</v>
      </c>
    </row>
    <row r="65" spans="1:14">
      <c r="A65" s="37" t="s">
        <v>1179</v>
      </c>
      <c r="B65" s="36" t="s">
        <v>1178</v>
      </c>
      <c r="C65" s="37" t="s">
        <v>1712</v>
      </c>
      <c r="D65" s="37" t="s">
        <v>1713</v>
      </c>
      <c r="E65" s="37" t="s">
        <v>1180</v>
      </c>
      <c r="F65" s="37" t="s">
        <v>2113</v>
      </c>
      <c r="G65" s="37" t="s">
        <v>1084</v>
      </c>
      <c r="H65" s="37" t="s">
        <v>1085</v>
      </c>
      <c r="I65" s="37" t="s">
        <v>1180</v>
      </c>
      <c r="J65" s="37" t="s">
        <v>1087</v>
      </c>
      <c r="K65" s="37" t="s">
        <v>1180</v>
      </c>
      <c r="L65" s="37" t="s">
        <v>1598</v>
      </c>
      <c r="M65" s="37" t="s">
        <v>1598</v>
      </c>
      <c r="N65" s="39" t="s">
        <v>1181</v>
      </c>
    </row>
    <row r="66" spans="1:14">
      <c r="A66" s="37" t="s">
        <v>1183</v>
      </c>
      <c r="B66" s="36" t="s">
        <v>1182</v>
      </c>
      <c r="C66" s="37" t="s">
        <v>1714</v>
      </c>
      <c r="D66" s="37" t="s">
        <v>1715</v>
      </c>
      <c r="E66" s="37" t="s">
        <v>1996</v>
      </c>
      <c r="F66" s="37" t="s">
        <v>2114</v>
      </c>
      <c r="G66" s="37" t="s">
        <v>1066</v>
      </c>
      <c r="H66" s="37" t="s">
        <v>987</v>
      </c>
      <c r="I66" s="37" t="s">
        <v>1066</v>
      </c>
      <c r="J66" s="37" t="s">
        <v>987</v>
      </c>
      <c r="L66" s="37" t="s">
        <v>1598</v>
      </c>
      <c r="M66" s="37" t="s">
        <v>1594</v>
      </c>
      <c r="N66" s="39" t="s">
        <v>1883</v>
      </c>
    </row>
    <row r="67" spans="1:14">
      <c r="A67" s="37" t="s">
        <v>1188</v>
      </c>
      <c r="B67" s="36" t="s">
        <v>1187</v>
      </c>
      <c r="C67" s="37" t="s">
        <v>1718</v>
      </c>
      <c r="D67" s="37" t="s">
        <v>1719</v>
      </c>
      <c r="E67" s="37" t="s">
        <v>2023</v>
      </c>
      <c r="F67" s="37" t="s">
        <v>2115</v>
      </c>
      <c r="G67" s="37" t="s">
        <v>1117</v>
      </c>
      <c r="H67" s="37" t="s">
        <v>997</v>
      </c>
      <c r="I67" s="37" t="s">
        <v>1117</v>
      </c>
      <c r="J67" s="37" t="s">
        <v>997</v>
      </c>
      <c r="K67" s="37" t="s">
        <v>1117</v>
      </c>
      <c r="L67" s="37" t="s">
        <v>1598</v>
      </c>
      <c r="M67" s="37" t="s">
        <v>1598</v>
      </c>
      <c r="N67" s="39" t="s">
        <v>1189</v>
      </c>
    </row>
    <row r="68" spans="1:14">
      <c r="A68" s="37" t="s">
        <v>1185</v>
      </c>
      <c r="B68" s="36" t="s">
        <v>1184</v>
      </c>
      <c r="C68" s="37" t="s">
        <v>1716</v>
      </c>
      <c r="D68" s="37" t="s">
        <v>1717</v>
      </c>
      <c r="E68" s="37" t="s">
        <v>2024</v>
      </c>
      <c r="F68" s="37" t="s">
        <v>2116</v>
      </c>
      <c r="G68" s="37" t="s">
        <v>1117</v>
      </c>
      <c r="H68" s="37" t="s">
        <v>997</v>
      </c>
      <c r="I68" s="37" t="s">
        <v>1117</v>
      </c>
      <c r="J68" s="37" t="s">
        <v>997</v>
      </c>
      <c r="K68" s="37" t="s">
        <v>1117</v>
      </c>
      <c r="L68" s="37" t="s">
        <v>1598</v>
      </c>
      <c r="M68" s="37" t="s">
        <v>1598</v>
      </c>
      <c r="N68" s="39" t="s">
        <v>1186</v>
      </c>
    </row>
    <row r="69" spans="1:14">
      <c r="A69" s="37" t="s">
        <v>1191</v>
      </c>
      <c r="B69" s="36" t="s">
        <v>1190</v>
      </c>
      <c r="C69" s="37" t="s">
        <v>1720</v>
      </c>
      <c r="D69" s="37" t="s">
        <v>1721</v>
      </c>
      <c r="E69" s="37" t="s">
        <v>2025</v>
      </c>
      <c r="F69" s="37" t="s">
        <v>2117</v>
      </c>
      <c r="G69" s="37" t="s">
        <v>986</v>
      </c>
      <c r="H69" s="37" t="s">
        <v>987</v>
      </c>
      <c r="I69" s="37" t="s">
        <v>1067</v>
      </c>
      <c r="J69" s="37" t="s">
        <v>987</v>
      </c>
      <c r="K69" s="37" t="s">
        <v>1067</v>
      </c>
      <c r="L69" s="37" t="s">
        <v>1598</v>
      </c>
      <c r="M69" s="37" t="s">
        <v>1594</v>
      </c>
      <c r="N69" s="39" t="s">
        <v>3005</v>
      </c>
    </row>
    <row r="70" spans="1:14">
      <c r="A70" s="37" t="s">
        <v>1193</v>
      </c>
      <c r="B70" s="36" t="s">
        <v>1192</v>
      </c>
      <c r="C70" s="37" t="s">
        <v>1722</v>
      </c>
      <c r="D70" s="37" t="s">
        <v>1723</v>
      </c>
      <c r="E70" s="37" t="s">
        <v>2026</v>
      </c>
      <c r="F70" s="37" t="s">
        <v>1194</v>
      </c>
      <c r="G70" s="37" t="s">
        <v>986</v>
      </c>
      <c r="H70" s="37" t="s">
        <v>987</v>
      </c>
      <c r="I70" s="37" t="s">
        <v>1067</v>
      </c>
      <c r="J70" s="37" t="s">
        <v>987</v>
      </c>
      <c r="K70" s="37" t="s">
        <v>1067</v>
      </c>
      <c r="L70" s="37" t="s">
        <v>1598</v>
      </c>
      <c r="M70" s="37" t="s">
        <v>1598</v>
      </c>
      <c r="N70" s="39" t="s">
        <v>3006</v>
      </c>
    </row>
    <row r="71" spans="1:14">
      <c r="A71" s="37" t="s">
        <v>1197</v>
      </c>
      <c r="B71" s="36" t="s">
        <v>1196</v>
      </c>
      <c r="C71" s="37" t="s">
        <v>1724</v>
      </c>
      <c r="D71" s="37" t="s">
        <v>1725</v>
      </c>
      <c r="E71" s="37" t="s">
        <v>1195</v>
      </c>
      <c r="F71" s="37" t="s">
        <v>2118</v>
      </c>
      <c r="G71" s="37" t="s">
        <v>1085</v>
      </c>
      <c r="H71" s="37" t="s">
        <v>1085</v>
      </c>
      <c r="I71" s="37" t="s">
        <v>1195</v>
      </c>
      <c r="J71" s="37" t="s">
        <v>1087</v>
      </c>
      <c r="K71" s="37" t="s">
        <v>1085</v>
      </c>
      <c r="L71" s="37" t="s">
        <v>1598</v>
      </c>
      <c r="M71" s="37" t="s">
        <v>1598</v>
      </c>
      <c r="N71" s="39" t="s">
        <v>1198</v>
      </c>
    </row>
    <row r="72" spans="1:14">
      <c r="A72" s="37" t="s">
        <v>1200</v>
      </c>
      <c r="B72" s="36" t="s">
        <v>1199</v>
      </c>
      <c r="C72" s="37" t="s">
        <v>1726</v>
      </c>
      <c r="D72" s="37" t="s">
        <v>1727</v>
      </c>
      <c r="E72" s="37" t="s">
        <v>2027</v>
      </c>
      <c r="F72" s="37" t="s">
        <v>2119</v>
      </c>
      <c r="G72" s="37" t="s">
        <v>986</v>
      </c>
      <c r="H72" s="37" t="s">
        <v>987</v>
      </c>
      <c r="I72" s="37" t="s">
        <v>986</v>
      </c>
      <c r="J72" s="37" t="s">
        <v>987</v>
      </c>
      <c r="L72" s="37" t="s">
        <v>1598</v>
      </c>
      <c r="M72" s="37" t="s">
        <v>1594</v>
      </c>
      <c r="N72" s="39" t="s">
        <v>1201</v>
      </c>
    </row>
    <row r="73" spans="1:14">
      <c r="A73" s="37" t="s">
        <v>1203</v>
      </c>
      <c r="B73" s="36" t="s">
        <v>1202</v>
      </c>
      <c r="C73" s="37" t="s">
        <v>1728</v>
      </c>
      <c r="D73" s="37" t="s">
        <v>1729</v>
      </c>
      <c r="E73" s="37" t="s">
        <v>2028</v>
      </c>
      <c r="F73" s="37" t="s">
        <v>2120</v>
      </c>
      <c r="G73" s="37" t="s">
        <v>996</v>
      </c>
      <c r="H73" s="37" t="s">
        <v>997</v>
      </c>
      <c r="I73" s="37" t="s">
        <v>998</v>
      </c>
      <c r="J73" s="37" t="s">
        <v>997</v>
      </c>
      <c r="K73" s="37" t="s">
        <v>998</v>
      </c>
      <c r="L73" s="37" t="s">
        <v>1598</v>
      </c>
      <c r="M73" s="37" t="s">
        <v>1598</v>
      </c>
      <c r="N73" s="39" t="s">
        <v>3007</v>
      </c>
    </row>
    <row r="74" spans="1:14">
      <c r="A74" s="37" t="s">
        <v>1205</v>
      </c>
      <c r="B74" s="36" t="s">
        <v>1204</v>
      </c>
      <c r="C74" s="37" t="s">
        <v>1730</v>
      </c>
      <c r="D74" s="37" t="s">
        <v>1731</v>
      </c>
      <c r="E74" s="37" t="s">
        <v>1995</v>
      </c>
      <c r="F74" s="37" t="s">
        <v>2121</v>
      </c>
      <c r="G74" s="37" t="s">
        <v>980</v>
      </c>
      <c r="H74" s="37" t="s">
        <v>981</v>
      </c>
      <c r="I74" s="37" t="s">
        <v>980</v>
      </c>
      <c r="J74" s="37" t="s">
        <v>981</v>
      </c>
      <c r="K74" s="37" t="s">
        <v>980</v>
      </c>
      <c r="L74" s="37" t="s">
        <v>1598</v>
      </c>
      <c r="M74" s="37" t="s">
        <v>1598</v>
      </c>
      <c r="N74" s="39" t="s">
        <v>1206</v>
      </c>
    </row>
    <row r="75" spans="1:14">
      <c r="A75" s="37" t="s">
        <v>1208</v>
      </c>
      <c r="B75" s="36" t="s">
        <v>1207</v>
      </c>
      <c r="C75" s="37" t="s">
        <v>1732</v>
      </c>
      <c r="D75" s="37" t="s">
        <v>1733</v>
      </c>
      <c r="E75" s="37" t="s">
        <v>1994</v>
      </c>
      <c r="F75" s="37" t="s">
        <v>2122</v>
      </c>
      <c r="G75" s="37" t="s">
        <v>980</v>
      </c>
      <c r="H75" s="37" t="s">
        <v>981</v>
      </c>
      <c r="I75" s="37" t="s">
        <v>980</v>
      </c>
      <c r="J75" s="37" t="s">
        <v>981</v>
      </c>
      <c r="K75" s="37" t="s">
        <v>980</v>
      </c>
      <c r="L75" s="37" t="s">
        <v>1598</v>
      </c>
      <c r="M75" s="37" t="s">
        <v>1598</v>
      </c>
      <c r="N75" s="39" t="s">
        <v>1206</v>
      </c>
    </row>
    <row r="76" spans="1:14">
      <c r="A76" s="37" t="s">
        <v>1210</v>
      </c>
      <c r="B76" s="36" t="s">
        <v>1209</v>
      </c>
      <c r="C76" s="37" t="s">
        <v>1734</v>
      </c>
      <c r="D76" s="37" t="s">
        <v>1735</v>
      </c>
      <c r="E76" s="37" t="s">
        <v>996</v>
      </c>
      <c r="F76" s="37" t="s">
        <v>2123</v>
      </c>
      <c r="G76" s="37" t="s">
        <v>996</v>
      </c>
      <c r="H76" s="37" t="s">
        <v>997</v>
      </c>
      <c r="I76" s="37" t="s">
        <v>1211</v>
      </c>
      <c r="J76" s="37" t="s">
        <v>997</v>
      </c>
      <c r="K76" s="37" t="s">
        <v>998</v>
      </c>
      <c r="L76" s="37" t="s">
        <v>1598</v>
      </c>
      <c r="M76" s="37" t="s">
        <v>1598</v>
      </c>
      <c r="N76" s="39" t="s">
        <v>999</v>
      </c>
    </row>
    <row r="77" spans="1:14">
      <c r="A77" s="37" t="s">
        <v>1213</v>
      </c>
      <c r="B77" s="36" t="s">
        <v>1212</v>
      </c>
      <c r="C77" s="37" t="s">
        <v>1736</v>
      </c>
      <c r="D77" s="37" t="s">
        <v>1737</v>
      </c>
      <c r="E77" s="37" t="s">
        <v>2029</v>
      </c>
      <c r="F77" s="37" t="s">
        <v>2124</v>
      </c>
      <c r="G77" s="37" t="s">
        <v>1214</v>
      </c>
      <c r="H77" s="37" t="s">
        <v>1214</v>
      </c>
      <c r="I77" s="37" t="s">
        <v>1215</v>
      </c>
      <c r="J77" s="37" t="s">
        <v>1087</v>
      </c>
      <c r="K77" s="37" t="s">
        <v>1214</v>
      </c>
      <c r="L77" s="37" t="s">
        <v>1598</v>
      </c>
      <c r="M77" s="37" t="s">
        <v>1598</v>
      </c>
      <c r="N77" s="39" t="s">
        <v>1216</v>
      </c>
    </row>
    <row r="78" spans="1:14">
      <c r="A78" s="37" t="s">
        <v>1218</v>
      </c>
      <c r="B78" s="36" t="s">
        <v>1217</v>
      </c>
      <c r="C78" s="37" t="s">
        <v>1738</v>
      </c>
      <c r="D78" s="37" t="s">
        <v>1739</v>
      </c>
      <c r="E78" s="37" t="s">
        <v>2030</v>
      </c>
      <c r="F78" s="37" t="s">
        <v>2125</v>
      </c>
      <c r="G78" s="37" t="s">
        <v>1214</v>
      </c>
      <c r="H78" s="37" t="s">
        <v>1214</v>
      </c>
      <c r="I78" s="37" t="s">
        <v>1215</v>
      </c>
      <c r="J78" s="37" t="s">
        <v>1087</v>
      </c>
      <c r="K78" s="37" t="s">
        <v>1214</v>
      </c>
      <c r="L78" s="37" t="s">
        <v>1598</v>
      </c>
      <c r="M78" s="37" t="s">
        <v>1598</v>
      </c>
      <c r="N78" s="39" t="s">
        <v>1216</v>
      </c>
    </row>
    <row r="79" spans="1:14">
      <c r="A79" s="37" t="s">
        <v>1224</v>
      </c>
      <c r="B79" s="36" t="s">
        <v>1223</v>
      </c>
      <c r="C79" s="37" t="s">
        <v>1742</v>
      </c>
      <c r="D79" s="37" t="s">
        <v>1743</v>
      </c>
      <c r="E79" s="37" t="s">
        <v>2030</v>
      </c>
      <c r="F79" s="37" t="s">
        <v>1225</v>
      </c>
      <c r="G79" s="37" t="s">
        <v>1214</v>
      </c>
      <c r="H79" s="37" t="s">
        <v>1214</v>
      </c>
      <c r="I79" s="37" t="s">
        <v>1221</v>
      </c>
      <c r="J79" s="37" t="s">
        <v>1087</v>
      </c>
      <c r="K79" s="37" t="s">
        <v>1214</v>
      </c>
      <c r="L79" s="37" t="s">
        <v>1598</v>
      </c>
      <c r="M79" s="37" t="s">
        <v>1598</v>
      </c>
      <c r="N79" s="39" t="s">
        <v>1226</v>
      </c>
    </row>
    <row r="80" spans="1:14">
      <c r="A80" s="37" t="s">
        <v>1220</v>
      </c>
      <c r="B80" s="36" t="s">
        <v>1219</v>
      </c>
      <c r="C80" s="37" t="s">
        <v>1740</v>
      </c>
      <c r="D80" s="37" t="s">
        <v>1741</v>
      </c>
      <c r="E80" s="37" t="s">
        <v>2464</v>
      </c>
      <c r="F80" s="37" t="s">
        <v>2126</v>
      </c>
      <c r="G80" s="37" t="s">
        <v>1214</v>
      </c>
      <c r="H80" s="37" t="s">
        <v>1214</v>
      </c>
      <c r="I80" s="37" t="s">
        <v>1221</v>
      </c>
      <c r="J80" s="37" t="s">
        <v>1087</v>
      </c>
      <c r="K80" s="37" t="s">
        <v>1214</v>
      </c>
      <c r="L80" s="37" t="s">
        <v>1598</v>
      </c>
      <c r="M80" s="37" t="s">
        <v>1598</v>
      </c>
      <c r="N80" s="39" t="s">
        <v>1222</v>
      </c>
    </row>
    <row r="81" spans="1:14">
      <c r="A81" s="37" t="s">
        <v>1228</v>
      </c>
      <c r="B81" s="36" t="s">
        <v>1227</v>
      </c>
      <c r="C81" s="37" t="s">
        <v>1744</v>
      </c>
      <c r="D81" s="37" t="s">
        <v>1745</v>
      </c>
      <c r="E81" s="37" t="s">
        <v>2031</v>
      </c>
      <c r="F81" s="37" t="s">
        <v>2127</v>
      </c>
      <c r="G81" s="37" t="s">
        <v>1229</v>
      </c>
      <c r="H81" s="37" t="s">
        <v>1051</v>
      </c>
      <c r="I81" s="37" t="s">
        <v>1229</v>
      </c>
      <c r="J81" s="37" t="s">
        <v>1051</v>
      </c>
      <c r="K81" s="37" t="s">
        <v>1229</v>
      </c>
      <c r="L81" s="37" t="s">
        <v>1598</v>
      </c>
      <c r="M81" s="37" t="s">
        <v>1598</v>
      </c>
      <c r="N81" s="39" t="s">
        <v>1230</v>
      </c>
    </row>
    <row r="82" spans="1:14">
      <c r="A82" s="37" t="s">
        <v>1232</v>
      </c>
      <c r="B82" s="36" t="s">
        <v>1231</v>
      </c>
      <c r="C82" s="37" t="s">
        <v>1746</v>
      </c>
      <c r="D82" s="37" t="s">
        <v>1747</v>
      </c>
      <c r="E82" s="37" t="s">
        <v>2031</v>
      </c>
      <c r="F82" s="37" t="s">
        <v>1233</v>
      </c>
      <c r="G82" s="37" t="s">
        <v>1229</v>
      </c>
      <c r="H82" s="37" t="s">
        <v>1051</v>
      </c>
      <c r="I82" s="37" t="s">
        <v>1229</v>
      </c>
      <c r="J82" s="37" t="s">
        <v>1051</v>
      </c>
      <c r="K82" s="37" t="s">
        <v>1229</v>
      </c>
      <c r="L82" s="37" t="s">
        <v>1598</v>
      </c>
      <c r="M82" s="37" t="s">
        <v>1598</v>
      </c>
      <c r="N82" s="39" t="s">
        <v>1230</v>
      </c>
    </row>
    <row r="83" spans="1:14">
      <c r="A83" s="37" t="s">
        <v>1235</v>
      </c>
      <c r="B83" s="36" t="s">
        <v>1234</v>
      </c>
      <c r="C83" s="37" t="s">
        <v>1748</v>
      </c>
      <c r="D83" s="37" t="s">
        <v>1749</v>
      </c>
      <c r="E83" s="37" t="s">
        <v>2032</v>
      </c>
      <c r="F83" s="37" t="s">
        <v>3122</v>
      </c>
      <c r="G83" s="37" t="s">
        <v>1229</v>
      </c>
      <c r="H83" s="37" t="s">
        <v>1051</v>
      </c>
      <c r="I83" s="37" t="s">
        <v>1229</v>
      </c>
      <c r="J83" s="37" t="s">
        <v>1051</v>
      </c>
      <c r="K83" s="37" t="s">
        <v>1229</v>
      </c>
      <c r="L83" s="37" t="s">
        <v>1598</v>
      </c>
      <c r="M83" s="37" t="s">
        <v>1598</v>
      </c>
      <c r="N83" s="39" t="s">
        <v>1230</v>
      </c>
    </row>
    <row r="84" spans="1:14">
      <c r="A84" s="37" t="s">
        <v>1237</v>
      </c>
      <c r="B84" s="36" t="s">
        <v>1236</v>
      </c>
      <c r="C84" s="37" t="s">
        <v>1750</v>
      </c>
      <c r="D84" s="37" t="s">
        <v>1751</v>
      </c>
      <c r="E84" s="37" t="s">
        <v>1073</v>
      </c>
      <c r="F84" s="37" t="s">
        <v>3123</v>
      </c>
      <c r="G84" s="37" t="s">
        <v>1073</v>
      </c>
      <c r="H84" s="37" t="s">
        <v>1051</v>
      </c>
      <c r="I84" s="37" t="s">
        <v>1073</v>
      </c>
      <c r="J84" s="37" t="s">
        <v>1051</v>
      </c>
      <c r="K84" s="37" t="s">
        <v>1073</v>
      </c>
      <c r="L84" s="37" t="s">
        <v>1598</v>
      </c>
      <c r="M84" s="37" t="s">
        <v>1598</v>
      </c>
      <c r="N84" s="39" t="s">
        <v>1238</v>
      </c>
    </row>
    <row r="85" spans="1:14">
      <c r="A85" s="37" t="s">
        <v>1240</v>
      </c>
      <c r="B85" s="36" t="s">
        <v>1239</v>
      </c>
      <c r="C85" s="37" t="s">
        <v>1752</v>
      </c>
      <c r="D85" s="37" t="s">
        <v>1753</v>
      </c>
      <c r="E85" s="37" t="s">
        <v>2033</v>
      </c>
      <c r="F85" s="37" t="s">
        <v>1241</v>
      </c>
      <c r="G85" s="37" t="s">
        <v>1073</v>
      </c>
      <c r="H85" s="37" t="s">
        <v>1051</v>
      </c>
      <c r="I85" s="37" t="s">
        <v>1073</v>
      </c>
      <c r="J85" s="37" t="s">
        <v>1051</v>
      </c>
      <c r="K85" s="37" t="s">
        <v>1073</v>
      </c>
      <c r="L85" s="37" t="s">
        <v>1598</v>
      </c>
      <c r="M85" s="37" t="s">
        <v>1594</v>
      </c>
      <c r="N85" s="39" t="s">
        <v>1242</v>
      </c>
    </row>
    <row r="86" spans="1:14">
      <c r="A86" s="37" t="s">
        <v>1244</v>
      </c>
      <c r="B86" s="36" t="s">
        <v>1243</v>
      </c>
      <c r="C86" s="37" t="s">
        <v>1754</v>
      </c>
      <c r="D86" s="37" t="s">
        <v>1755</v>
      </c>
      <c r="E86" s="37" t="s">
        <v>1246</v>
      </c>
      <c r="F86" s="37" t="s">
        <v>2128</v>
      </c>
      <c r="G86" s="37" t="s">
        <v>1245</v>
      </c>
      <c r="H86" s="37" t="s">
        <v>981</v>
      </c>
      <c r="I86" s="37" t="s">
        <v>1246</v>
      </c>
      <c r="J86" s="37" t="s">
        <v>981</v>
      </c>
      <c r="K86" s="37" t="s">
        <v>1245</v>
      </c>
      <c r="L86" s="37" t="s">
        <v>1598</v>
      </c>
      <c r="M86" s="37" t="s">
        <v>1598</v>
      </c>
      <c r="N86" s="39" t="s">
        <v>1247</v>
      </c>
    </row>
    <row r="87" spans="1:14">
      <c r="A87" s="37" t="s">
        <v>1248</v>
      </c>
      <c r="B87" s="36" t="s">
        <v>3018</v>
      </c>
      <c r="C87" s="37" t="s">
        <v>1756</v>
      </c>
      <c r="D87" s="37" t="s">
        <v>1757</v>
      </c>
      <c r="E87" s="37" t="s">
        <v>2465</v>
      </c>
      <c r="F87" s="37" t="s">
        <v>2129</v>
      </c>
      <c r="G87" s="37" t="s">
        <v>1249</v>
      </c>
      <c r="H87" s="37" t="s">
        <v>1142</v>
      </c>
      <c r="I87" s="37" t="s">
        <v>1249</v>
      </c>
      <c r="J87" s="37" t="s">
        <v>1030</v>
      </c>
      <c r="K87" s="37" t="s">
        <v>1249</v>
      </c>
      <c r="L87" s="37" t="s">
        <v>1598</v>
      </c>
      <c r="M87" s="37" t="s">
        <v>1598</v>
      </c>
      <c r="N87" s="39" t="s">
        <v>1250</v>
      </c>
    </row>
    <row r="88" spans="1:14">
      <c r="A88" s="37" t="s">
        <v>1252</v>
      </c>
      <c r="B88" s="36" t="s">
        <v>1251</v>
      </c>
      <c r="C88" s="37" t="s">
        <v>1758</v>
      </c>
      <c r="D88" s="37" t="s">
        <v>1759</v>
      </c>
      <c r="E88" s="37" t="s">
        <v>2034</v>
      </c>
      <c r="F88" s="37" t="s">
        <v>2130</v>
      </c>
      <c r="G88" s="37" t="s">
        <v>1249</v>
      </c>
      <c r="H88" s="37" t="s">
        <v>1142</v>
      </c>
      <c r="I88" s="37" t="s">
        <v>1249</v>
      </c>
      <c r="J88" s="37" t="s">
        <v>1030</v>
      </c>
      <c r="K88" s="37" t="s">
        <v>1249</v>
      </c>
      <c r="L88" s="37" t="s">
        <v>1598</v>
      </c>
      <c r="M88" s="37" t="s">
        <v>1598</v>
      </c>
      <c r="N88" s="39" t="s">
        <v>1253</v>
      </c>
    </row>
    <row r="89" spans="1:14">
      <c r="A89" s="37" t="s">
        <v>1255</v>
      </c>
      <c r="B89" s="36" t="s">
        <v>1254</v>
      </c>
      <c r="C89" s="37" t="s">
        <v>1760</v>
      </c>
      <c r="D89" s="37" t="s">
        <v>1761</v>
      </c>
      <c r="E89" s="37" t="s">
        <v>2035</v>
      </c>
      <c r="F89" s="37" t="s">
        <v>1256</v>
      </c>
      <c r="G89" s="37" t="s">
        <v>1245</v>
      </c>
      <c r="H89" s="37" t="s">
        <v>981</v>
      </c>
      <c r="I89" s="37" t="s">
        <v>1257</v>
      </c>
      <c r="J89" s="37" t="s">
        <v>981</v>
      </c>
      <c r="K89" s="37" t="s">
        <v>1245</v>
      </c>
      <c r="L89" s="37" t="s">
        <v>1598</v>
      </c>
      <c r="M89" s="37" t="s">
        <v>1598</v>
      </c>
      <c r="N89" s="39" t="s">
        <v>1258</v>
      </c>
    </row>
    <row r="90" spans="1:14">
      <c r="A90" s="37" t="s">
        <v>1260</v>
      </c>
      <c r="B90" s="36" t="s">
        <v>1259</v>
      </c>
      <c r="C90" s="37" t="s">
        <v>1762</v>
      </c>
      <c r="D90" s="37" t="s">
        <v>1763</v>
      </c>
      <c r="E90" s="37" t="s">
        <v>2035</v>
      </c>
      <c r="F90" s="37" t="s">
        <v>1261</v>
      </c>
      <c r="G90" s="37" t="s">
        <v>1245</v>
      </c>
      <c r="H90" s="37" t="s">
        <v>981</v>
      </c>
      <c r="I90" s="37" t="s">
        <v>1262</v>
      </c>
      <c r="J90" s="37" t="s">
        <v>981</v>
      </c>
      <c r="K90" s="37" t="s">
        <v>1245</v>
      </c>
      <c r="L90" s="37" t="s">
        <v>1598</v>
      </c>
      <c r="M90" s="37" t="s">
        <v>1598</v>
      </c>
      <c r="N90" s="39" t="s">
        <v>1258</v>
      </c>
    </row>
    <row r="91" spans="1:14">
      <c r="A91" s="37" t="s">
        <v>1264</v>
      </c>
      <c r="B91" s="36" t="s">
        <v>1263</v>
      </c>
      <c r="C91" s="37" t="s">
        <v>1764</v>
      </c>
      <c r="D91" s="37" t="s">
        <v>1765</v>
      </c>
      <c r="E91" s="37" t="s">
        <v>1246</v>
      </c>
      <c r="F91" s="37" t="s">
        <v>2131</v>
      </c>
      <c r="G91" s="37" t="s">
        <v>1245</v>
      </c>
      <c r="H91" s="37" t="s">
        <v>981</v>
      </c>
      <c r="I91" s="37" t="s">
        <v>1262</v>
      </c>
      <c r="J91" s="37" t="s">
        <v>981</v>
      </c>
      <c r="K91" s="37" t="s">
        <v>1245</v>
      </c>
      <c r="L91" s="37" t="s">
        <v>1598</v>
      </c>
      <c r="M91" s="37" t="s">
        <v>1598</v>
      </c>
      <c r="N91" s="39" t="s">
        <v>1258</v>
      </c>
    </row>
    <row r="92" spans="1:14">
      <c r="A92" s="37" t="s">
        <v>3341</v>
      </c>
      <c r="B92" s="36" t="s">
        <v>1265</v>
      </c>
      <c r="C92" s="37" t="s">
        <v>3342</v>
      </c>
      <c r="D92" s="37" t="s">
        <v>1766</v>
      </c>
      <c r="E92" s="37" t="s">
        <v>2036</v>
      </c>
      <c r="F92" s="37" t="s">
        <v>2132</v>
      </c>
      <c r="G92" s="37" t="s">
        <v>1266</v>
      </c>
      <c r="H92" s="37" t="s">
        <v>25</v>
      </c>
      <c r="I92" s="37" t="s">
        <v>1267</v>
      </c>
      <c r="J92" s="37" t="s">
        <v>25</v>
      </c>
      <c r="K92" s="37" t="s">
        <v>1266</v>
      </c>
      <c r="L92" s="37" t="s">
        <v>1598</v>
      </c>
      <c r="M92" s="37" t="s">
        <v>1598</v>
      </c>
      <c r="N92" s="39" t="s">
        <v>3008</v>
      </c>
    </row>
    <row r="93" spans="1:14">
      <c r="A93" s="37" t="s">
        <v>3343</v>
      </c>
      <c r="B93" s="36" t="s">
        <v>1268</v>
      </c>
      <c r="C93" s="37" t="s">
        <v>3344</v>
      </c>
      <c r="D93" s="37" t="s">
        <v>1767</v>
      </c>
      <c r="E93" s="37" t="s">
        <v>2037</v>
      </c>
      <c r="F93" s="37" t="s">
        <v>783</v>
      </c>
      <c r="G93" s="37" t="s">
        <v>1266</v>
      </c>
      <c r="H93" s="37" t="s">
        <v>25</v>
      </c>
      <c r="I93" s="37" t="s">
        <v>1267</v>
      </c>
      <c r="J93" s="37" t="s">
        <v>25</v>
      </c>
      <c r="K93" s="37" t="s">
        <v>1266</v>
      </c>
      <c r="L93" s="37" t="s">
        <v>1598</v>
      </c>
      <c r="M93" s="37" t="s">
        <v>1598</v>
      </c>
      <c r="N93" s="39" t="s">
        <v>3009</v>
      </c>
    </row>
    <row r="94" spans="1:14">
      <c r="A94" s="37" t="s">
        <v>388</v>
      </c>
      <c r="B94" s="36" t="s">
        <v>1269</v>
      </c>
      <c r="C94" s="6" t="s">
        <v>1768</v>
      </c>
      <c r="D94" s="6" t="s">
        <v>1769</v>
      </c>
      <c r="E94" s="37" t="s">
        <v>2036</v>
      </c>
      <c r="F94" s="37" t="s">
        <v>2133</v>
      </c>
      <c r="G94" s="37" t="s">
        <v>1266</v>
      </c>
      <c r="H94" s="37" t="s">
        <v>25</v>
      </c>
      <c r="I94" s="37" t="s">
        <v>1270</v>
      </c>
      <c r="J94" s="37" t="s">
        <v>25</v>
      </c>
      <c r="K94" s="37" t="s">
        <v>1266</v>
      </c>
      <c r="L94" s="37" t="s">
        <v>1598</v>
      </c>
      <c r="M94" s="37" t="s">
        <v>1598</v>
      </c>
      <c r="N94" s="39" t="s">
        <v>1271</v>
      </c>
    </row>
    <row r="95" spans="1:14">
      <c r="A95" s="37" t="s">
        <v>2066</v>
      </c>
      <c r="B95" s="36" t="s">
        <v>1283</v>
      </c>
      <c r="C95" s="6" t="s">
        <v>2067</v>
      </c>
      <c r="D95" s="6" t="s">
        <v>2068</v>
      </c>
      <c r="E95" s="38" t="s">
        <v>2040</v>
      </c>
      <c r="F95" s="37" t="s">
        <v>2134</v>
      </c>
      <c r="G95" s="37" t="s">
        <v>1273</v>
      </c>
      <c r="H95" s="37" t="s">
        <v>1214</v>
      </c>
      <c r="I95" s="37" t="s">
        <v>1274</v>
      </c>
      <c r="J95" s="37" t="s">
        <v>1087</v>
      </c>
      <c r="K95" s="37" t="s">
        <v>1273</v>
      </c>
      <c r="L95" s="37" t="s">
        <v>1598</v>
      </c>
      <c r="M95" s="37" t="s">
        <v>1598</v>
      </c>
      <c r="N95" s="39" t="s">
        <v>1275</v>
      </c>
    </row>
    <row r="96" spans="1:14">
      <c r="A96" s="37" t="s">
        <v>1277</v>
      </c>
      <c r="B96" s="36" t="s">
        <v>1276</v>
      </c>
      <c r="C96" s="6" t="s">
        <v>1770</v>
      </c>
      <c r="D96" s="6" t="s">
        <v>1771</v>
      </c>
      <c r="E96" s="38" t="s">
        <v>2039</v>
      </c>
      <c r="F96" s="37" t="s">
        <v>2135</v>
      </c>
      <c r="G96" s="37" t="s">
        <v>1273</v>
      </c>
      <c r="H96" s="37" t="s">
        <v>1214</v>
      </c>
      <c r="I96" s="37" t="s">
        <v>1278</v>
      </c>
      <c r="J96" s="37" t="s">
        <v>1087</v>
      </c>
      <c r="K96" s="37" t="s">
        <v>1273</v>
      </c>
      <c r="L96" s="37" t="s">
        <v>1598</v>
      </c>
      <c r="M96" s="37" t="s">
        <v>1598</v>
      </c>
      <c r="N96" s="39" t="s">
        <v>1279</v>
      </c>
    </row>
    <row r="97" spans="1:15">
      <c r="A97" s="37" t="s">
        <v>1281</v>
      </c>
      <c r="B97" s="36" t="s">
        <v>1280</v>
      </c>
      <c r="C97" s="6" t="s">
        <v>1772</v>
      </c>
      <c r="D97" s="6" t="s">
        <v>1773</v>
      </c>
      <c r="E97" s="37" t="s">
        <v>2038</v>
      </c>
      <c r="F97" s="37" t="s">
        <v>2136</v>
      </c>
      <c r="G97" s="37" t="s">
        <v>1273</v>
      </c>
      <c r="H97" s="37" t="s">
        <v>1214</v>
      </c>
      <c r="I97" s="37" t="s">
        <v>1278</v>
      </c>
      <c r="J97" s="37" t="s">
        <v>1087</v>
      </c>
      <c r="K97" s="37" t="s">
        <v>1273</v>
      </c>
      <c r="L97" s="37" t="s">
        <v>1598</v>
      </c>
      <c r="M97" s="37" t="s">
        <v>1598</v>
      </c>
      <c r="N97" s="39" t="s">
        <v>1282</v>
      </c>
    </row>
    <row r="98" spans="1:15">
      <c r="A98" s="37" t="s">
        <v>2069</v>
      </c>
      <c r="B98" s="36" t="s">
        <v>1272</v>
      </c>
      <c r="C98" s="6" t="s">
        <v>2070</v>
      </c>
      <c r="D98" s="6" t="s">
        <v>2071</v>
      </c>
      <c r="E98" s="37" t="s">
        <v>2038</v>
      </c>
      <c r="F98" s="37" t="s">
        <v>3124</v>
      </c>
      <c r="G98" s="37" t="s">
        <v>1273</v>
      </c>
      <c r="H98" s="37" t="s">
        <v>1214</v>
      </c>
      <c r="I98" s="37" t="s">
        <v>1284</v>
      </c>
      <c r="J98" s="37" t="s">
        <v>1087</v>
      </c>
      <c r="K98" s="37" t="s">
        <v>1273</v>
      </c>
      <c r="L98" s="37" t="s">
        <v>1598</v>
      </c>
      <c r="M98" s="37" t="s">
        <v>1598</v>
      </c>
      <c r="N98" s="39" t="s">
        <v>2466</v>
      </c>
    </row>
    <row r="99" spans="1:15">
      <c r="A99" s="37" t="s">
        <v>1286</v>
      </c>
      <c r="B99" s="36" t="s">
        <v>1285</v>
      </c>
      <c r="C99" s="6" t="s">
        <v>1774</v>
      </c>
      <c r="D99" s="6" t="s">
        <v>1775</v>
      </c>
      <c r="E99" s="37" t="s">
        <v>2467</v>
      </c>
      <c r="F99" s="37" t="s">
        <v>2137</v>
      </c>
      <c r="G99" s="37" t="s">
        <v>1287</v>
      </c>
      <c r="H99" s="37" t="s">
        <v>1214</v>
      </c>
      <c r="I99" s="37" t="s">
        <v>1287</v>
      </c>
      <c r="J99" s="37" t="s">
        <v>1087</v>
      </c>
      <c r="K99" s="37" t="s">
        <v>1287</v>
      </c>
      <c r="L99" s="37" t="s">
        <v>1598</v>
      </c>
      <c r="M99" s="37" t="s">
        <v>1598</v>
      </c>
      <c r="N99" s="39" t="s">
        <v>1288</v>
      </c>
    </row>
    <row r="100" spans="1:15">
      <c r="A100" s="37" t="s">
        <v>1290</v>
      </c>
      <c r="B100" s="36" t="s">
        <v>1289</v>
      </c>
      <c r="C100" s="6" t="s">
        <v>1776</v>
      </c>
      <c r="D100" s="6" t="s">
        <v>1777</v>
      </c>
      <c r="E100" s="37" t="s">
        <v>2468</v>
      </c>
      <c r="F100" s="37" t="s">
        <v>2138</v>
      </c>
      <c r="G100" s="37" t="s">
        <v>1287</v>
      </c>
      <c r="H100" s="37" t="s">
        <v>1214</v>
      </c>
      <c r="I100" s="37" t="s">
        <v>1287</v>
      </c>
      <c r="J100" s="37" t="s">
        <v>1087</v>
      </c>
      <c r="K100" s="37" t="s">
        <v>1287</v>
      </c>
      <c r="L100" s="37" t="s">
        <v>1598</v>
      </c>
      <c r="M100" s="37" t="s">
        <v>1598</v>
      </c>
      <c r="N100" s="39" t="s">
        <v>1291</v>
      </c>
    </row>
    <row r="101" spans="1:15">
      <c r="A101" s="37" t="s">
        <v>1293</v>
      </c>
      <c r="B101" s="36" t="s">
        <v>1292</v>
      </c>
      <c r="C101" s="6" t="s">
        <v>1778</v>
      </c>
      <c r="D101" s="6" t="s">
        <v>1779</v>
      </c>
      <c r="E101" s="38" t="s">
        <v>2469</v>
      </c>
      <c r="F101" s="37" t="s">
        <v>1294</v>
      </c>
      <c r="G101" s="37" t="s">
        <v>1085</v>
      </c>
      <c r="H101" s="37" t="s">
        <v>1085</v>
      </c>
      <c r="I101" s="37" t="s">
        <v>1085</v>
      </c>
      <c r="J101" s="37" t="s">
        <v>1087</v>
      </c>
      <c r="K101" s="37" t="s">
        <v>1085</v>
      </c>
      <c r="L101" s="37" t="s">
        <v>1598</v>
      </c>
      <c r="M101" s="37" t="s">
        <v>1598</v>
      </c>
      <c r="N101" s="39" t="s">
        <v>1295</v>
      </c>
    </row>
    <row r="102" spans="1:15">
      <c r="A102" s="37" t="s">
        <v>1297</v>
      </c>
      <c r="B102" s="36" t="s">
        <v>1296</v>
      </c>
      <c r="C102" s="6" t="s">
        <v>1780</v>
      </c>
      <c r="D102" s="6" t="s">
        <v>1781</v>
      </c>
      <c r="E102" s="38" t="s">
        <v>2041</v>
      </c>
      <c r="F102" s="37" t="s">
        <v>2139</v>
      </c>
      <c r="G102" s="37" t="s">
        <v>1085</v>
      </c>
      <c r="H102" s="37" t="s">
        <v>1085</v>
      </c>
      <c r="I102" s="37" t="s">
        <v>1085</v>
      </c>
      <c r="J102" s="37" t="s">
        <v>1087</v>
      </c>
      <c r="K102" s="37" t="s">
        <v>1085</v>
      </c>
      <c r="L102" s="37" t="s">
        <v>1598</v>
      </c>
      <c r="M102" s="37" t="s">
        <v>1598</v>
      </c>
      <c r="N102" s="39" t="s">
        <v>1298</v>
      </c>
    </row>
    <row r="103" spans="1:15">
      <c r="A103" s="39"/>
      <c r="B103" s="40"/>
      <c r="C103" s="6"/>
      <c r="D103" s="6"/>
      <c r="E103" s="39"/>
      <c r="F103" s="39"/>
      <c r="G103" s="39"/>
      <c r="H103" s="39"/>
      <c r="I103" s="39"/>
      <c r="J103" s="39"/>
      <c r="K103" s="39"/>
      <c r="L103" s="39"/>
      <c r="M103" s="39"/>
      <c r="N103" s="39"/>
    </row>
    <row r="104" spans="1:15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</row>
    <row r="105" spans="1:15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</row>
    <row r="106" spans="1:15">
      <c r="A106" s="39"/>
      <c r="B106" s="40"/>
      <c r="C106" s="6"/>
      <c r="D106" s="6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D21" sqref="D21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42519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5</v>
      </c>
    </row>
    <row r="3" spans="1:4">
      <c r="C3" s="6" t="s">
        <v>12</v>
      </c>
      <c r="D3" s="6">
        <f>INT((DAY(DATE)-1)/7)+1</f>
        <v>5</v>
      </c>
    </row>
    <row r="4" spans="1:4">
      <c r="C4" s="6" t="s">
        <v>507</v>
      </c>
      <c r="D4" s="6">
        <f>WEEKDAY(DATE,2)</f>
        <v>7</v>
      </c>
    </row>
    <row r="5" spans="1:4">
      <c r="C5" s="21" t="s">
        <v>14</v>
      </c>
      <c r="D5">
        <f>DAY(DATE)</f>
        <v>29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25"/>
  <sheetViews>
    <sheetView tabSelected="1" topLeftCell="F1" zoomScale="85" zoomScaleNormal="85" zoomScaleSheetLayoutView="115" workbookViewId="0">
      <selection activeCell="U6" sqref="U6"/>
    </sheetView>
  </sheetViews>
  <sheetFormatPr defaultRowHeight="15"/>
  <cols>
    <col min="1" max="1" width="22.7109375" style="42" hidden="1" customWidth="1"/>
    <col min="2" max="4" width="22.85546875" style="42" hidden="1" customWidth="1"/>
    <col min="5" max="5" width="11.28515625" style="42" hidden="1" customWidth="1"/>
    <col min="6" max="6" width="24.7109375" style="6" customWidth="1"/>
    <col min="7" max="10" width="3.85546875" style="6" customWidth="1"/>
    <col min="11" max="12" width="14.7109375" style="6" customWidth="1"/>
    <col min="13" max="18" width="7.7109375" style="6" customWidth="1"/>
    <col min="19" max="16384" width="9.140625" style="6"/>
  </cols>
  <sheetData>
    <row r="1" spans="1:18" ht="152.25" customHeight="1">
      <c r="A1" s="1" t="s">
        <v>1297</v>
      </c>
      <c r="B1" s="6" t="s">
        <v>966</v>
      </c>
      <c r="F1" s="18" t="str">
        <f>IF($A$2=TRUE,"Key Indicators",VLOOKUP($A$1,COMP_LIST!$A:$C,3,FALSE))</f>
        <v>Key Indicators</v>
      </c>
      <c r="G1" s="43"/>
      <c r="H1" s="43"/>
      <c r="I1" s="43"/>
      <c r="J1" s="43"/>
      <c r="K1" s="43"/>
      <c r="L1" s="67" t="s">
        <v>964</v>
      </c>
      <c r="M1" s="70" t="s">
        <v>21</v>
      </c>
      <c r="N1" s="55" t="s">
        <v>22</v>
      </c>
      <c r="O1" s="55" t="s">
        <v>23</v>
      </c>
      <c r="P1" s="55" t="s">
        <v>32</v>
      </c>
      <c r="Q1" s="55" t="s">
        <v>33</v>
      </c>
      <c r="R1" s="55" t="s">
        <v>24</v>
      </c>
    </row>
    <row r="2" spans="1:18" ht="15" customHeight="1">
      <c r="A2" s="1" t="b">
        <v>1</v>
      </c>
      <c r="B2" s="6" t="s">
        <v>3010</v>
      </c>
      <c r="F2" s="57" t="str">
        <f>IF($A$2=TRUE,"Taiwan Taipei Mission",VLOOKUP($A$1,COMP_LIST!$A:$G,6,FALSE))</f>
        <v>Taiwan Taipei Mission</v>
      </c>
      <c r="G2" s="44"/>
      <c r="H2" s="44"/>
      <c r="I2" s="44"/>
      <c r="J2" s="44"/>
      <c r="K2" s="13"/>
      <c r="L2" s="68"/>
      <c r="M2" s="71"/>
      <c r="N2" s="56"/>
      <c r="O2" s="56"/>
      <c r="P2" s="56"/>
      <c r="Q2" s="56"/>
      <c r="R2" s="56"/>
    </row>
    <row r="3" spans="1:18" ht="15" customHeight="1">
      <c r="A3" s="6">
        <f>MATCH($A$1,COMP_LIST!$A:$A,0)</f>
        <v>102</v>
      </c>
      <c r="B3" s="54" t="s">
        <v>37</v>
      </c>
      <c r="F3" s="58" t="s">
        <v>1780</v>
      </c>
      <c r="G3" s="44"/>
      <c r="H3" s="44"/>
      <c r="I3" s="44"/>
      <c r="J3" s="44"/>
      <c r="K3" s="13"/>
      <c r="L3" s="68"/>
      <c r="M3" s="71"/>
      <c r="N3" s="56"/>
      <c r="O3" s="56"/>
      <c r="P3" s="56"/>
      <c r="Q3" s="56"/>
      <c r="R3" s="56"/>
    </row>
    <row r="4" spans="1:18" ht="15" customHeight="1">
      <c r="A4" s="6" t="str">
        <f>IF($A$2=TRUE,RIGHT(INDEX(COMP_LIST!$A:$O,$A$3,2),4),$A$1)</f>
        <v>1862</v>
      </c>
      <c r="B4" s="6" t="s">
        <v>3019</v>
      </c>
      <c r="F4" s="59" t="s">
        <v>2252</v>
      </c>
      <c r="G4" s="61" t="s">
        <v>495</v>
      </c>
      <c r="H4" s="62"/>
      <c r="I4" s="62"/>
      <c r="J4" s="62"/>
      <c r="K4" s="63"/>
      <c r="L4" s="68"/>
      <c r="M4" s="71"/>
      <c r="N4" s="56"/>
      <c r="O4" s="56"/>
      <c r="P4" s="56"/>
      <c r="Q4" s="56"/>
      <c r="R4" s="56"/>
    </row>
    <row r="5" spans="1:18" ht="15" customHeight="1">
      <c r="F5" s="60"/>
      <c r="G5" s="64" t="s">
        <v>487</v>
      </c>
      <c r="H5" s="65"/>
      <c r="I5" s="65"/>
      <c r="J5" s="65"/>
      <c r="K5" s="66"/>
      <c r="L5" s="69"/>
      <c r="M5" s="71"/>
      <c r="N5" s="56"/>
      <c r="O5" s="56"/>
      <c r="P5" s="56"/>
      <c r="Q5" s="56"/>
      <c r="R5" s="56"/>
    </row>
    <row r="6" spans="1:18" ht="15" customHeight="1">
      <c r="F6" s="41">
        <f>DATE-7*5</f>
        <v>42484</v>
      </c>
      <c r="G6" s="11" t="s">
        <v>2</v>
      </c>
      <c r="H6" s="11" t="s">
        <v>3</v>
      </c>
      <c r="I6" s="11" t="s">
        <v>4</v>
      </c>
      <c r="J6" s="11" t="s">
        <v>5</v>
      </c>
      <c r="K6" s="25" t="s">
        <v>26</v>
      </c>
      <c r="L6" s="30" t="s">
        <v>15</v>
      </c>
      <c r="M6" s="19" t="s">
        <v>16</v>
      </c>
      <c r="N6" s="19" t="s">
        <v>17</v>
      </c>
      <c r="O6" s="19" t="s">
        <v>18</v>
      </c>
      <c r="P6" s="19" t="s">
        <v>19</v>
      </c>
      <c r="Q6" s="19" t="s">
        <v>28</v>
      </c>
      <c r="R6" s="45"/>
    </row>
    <row r="7" spans="1:18" ht="15" customHeight="1">
      <c r="F7" s="41">
        <f>DATE</f>
        <v>42519</v>
      </c>
      <c r="G7" s="11"/>
      <c r="H7" s="11"/>
      <c r="I7" s="11"/>
      <c r="J7" s="11"/>
      <c r="K7" s="25" t="s">
        <v>488</v>
      </c>
      <c r="L7" s="35" t="s">
        <v>489</v>
      </c>
      <c r="M7" s="20" t="s">
        <v>490</v>
      </c>
      <c r="N7" s="20" t="s">
        <v>491</v>
      </c>
      <c r="O7" s="20" t="s">
        <v>492</v>
      </c>
      <c r="P7" s="20" t="s">
        <v>493</v>
      </c>
      <c r="Q7" s="20" t="s">
        <v>494</v>
      </c>
      <c r="R7" s="46"/>
    </row>
    <row r="8" spans="1:18" ht="15" hidden="1" customHeight="1">
      <c r="F8" s="47"/>
      <c r="G8" s="10" t="s">
        <v>2</v>
      </c>
      <c r="H8" s="10" t="s">
        <v>3</v>
      </c>
      <c r="I8" s="10" t="s">
        <v>4</v>
      </c>
      <c r="J8" s="10" t="s">
        <v>5</v>
      </c>
      <c r="K8" s="10" t="s">
        <v>29</v>
      </c>
      <c r="L8" s="31" t="s">
        <v>6</v>
      </c>
      <c r="M8" s="10" t="s">
        <v>7</v>
      </c>
      <c r="N8" s="10" t="s">
        <v>8</v>
      </c>
      <c r="O8" s="10" t="s">
        <v>9</v>
      </c>
      <c r="P8" s="10" t="s">
        <v>31</v>
      </c>
      <c r="Q8" s="10" t="s">
        <v>30</v>
      </c>
      <c r="R8" s="48" t="s">
        <v>10</v>
      </c>
    </row>
    <row r="9" spans="1:18" ht="15" hidden="1" customHeight="1">
      <c r="F9" s="47"/>
      <c r="G9" s="10"/>
      <c r="H9" s="10"/>
      <c r="I9" s="10"/>
      <c r="J9" s="10"/>
      <c r="K9" s="10"/>
      <c r="L9" s="31">
        <v>1</v>
      </c>
      <c r="M9" s="10">
        <v>6</v>
      </c>
      <c r="N9" s="10">
        <v>3</v>
      </c>
      <c r="O9" s="10">
        <v>8</v>
      </c>
      <c r="P9" s="10">
        <v>5</v>
      </c>
      <c r="Q9" s="10">
        <v>1</v>
      </c>
      <c r="R9" s="48"/>
    </row>
    <row r="10" spans="1:18" ht="15" hidden="1" customHeight="1">
      <c r="F10" s="47"/>
      <c r="G10" s="10"/>
      <c r="H10" s="10"/>
      <c r="I10" s="10"/>
      <c r="J10" s="10"/>
      <c r="K10" s="10"/>
      <c r="L10" s="31">
        <v>1</v>
      </c>
      <c r="M10" s="10">
        <v>4</v>
      </c>
      <c r="N10" s="10">
        <v>2</v>
      </c>
      <c r="O10" s="10">
        <v>6</v>
      </c>
      <c r="P10" s="10">
        <v>4</v>
      </c>
      <c r="Q10" s="10">
        <v>1</v>
      </c>
      <c r="R10" s="48"/>
    </row>
    <row r="11" spans="1:18" ht="15" customHeight="1">
      <c r="F11" s="4" t="s">
        <v>2253</v>
      </c>
      <c r="G11" s="5"/>
      <c r="H11" s="5"/>
      <c r="I11" s="5"/>
      <c r="J11" s="5"/>
      <c r="K11" s="5"/>
      <c r="L11" s="34"/>
      <c r="M11" s="5"/>
      <c r="N11" s="5"/>
      <c r="O11" s="5"/>
      <c r="P11" s="5"/>
      <c r="Q11" s="5"/>
      <c r="R11" s="49"/>
    </row>
    <row r="12" spans="1:18" ht="15" customHeight="1">
      <c r="A12" s="6">
        <v>-5</v>
      </c>
      <c r="B12" s="15">
        <f t="shared" ref="B12" si="0">DATE+7*A12</f>
        <v>42484</v>
      </c>
      <c r="C12" s="14">
        <f>INT((DAY(B12)-1)/7)+1</f>
        <v>4</v>
      </c>
      <c r="D12" s="6" t="str">
        <f t="shared" ref="D12:D17" si="1">YEAR(B12)&amp;":"&amp;MONTH(B12)&amp;":"&amp;C12&amp;":"&amp;WEEKLY_REPORT_DAY&amp;":"&amp;$A$1</f>
        <v>2016:4:4:7:ZHUNAN_ZL</v>
      </c>
      <c r="E12" s="42">
        <f>MATCH($D12,REPORT_DATA_BY_COMP!$A:$A,0)</f>
        <v>1464</v>
      </c>
      <c r="F12" s="50">
        <f>B12</f>
        <v>42484</v>
      </c>
      <c r="G12" s="8">
        <f>IFERROR(INDEX(REPORT_DATA_BY_COMP!$A:$AI,$E12,MATCH(G$8,REPORT_DATA_BY_COMP!$A$1:$AI$1,0)), "")</f>
        <v>0</v>
      </c>
      <c r="H12" s="8">
        <f>IFERROR(INDEX(REPORT_DATA_BY_COMP!$A:$AI,$E12,MATCH(H$8,REPORT_DATA_BY_COMP!$A$1:$AI$1,0)), "")</f>
        <v>1</v>
      </c>
      <c r="I12" s="8">
        <f>IFERROR(INDEX(REPORT_DATA_BY_COMP!$A:$AI,$E12,MATCH(I$8,REPORT_DATA_BY_COMP!$A$1:$AI$1,0)), "")</f>
        <v>3</v>
      </c>
      <c r="J12" s="8">
        <f>IFERROR(INDEX(REPORT_DATA_BY_COMP!$A:$AI,$E12,MATCH(J$8,REPORT_DATA_BY_COMP!$A$1:$AI$1,0)), "")</f>
        <v>4</v>
      </c>
      <c r="K12" s="8">
        <f>IFERROR(INDEX(REPORT_DATA_BY_COMP!$A:$AI,$E12,MATCH(K$8,REPORT_DATA_BY_COMP!$A$1:$AI$1,0)), "")</f>
        <v>0</v>
      </c>
      <c r="L12" s="33">
        <f>IFERROR(INDEX(REPORT_DATA_BY_COMP!$A:$AI,$E12,MATCH(L$8,REPORT_DATA_BY_COMP!$A$1:$AI$1,0)), "")</f>
        <v>0</v>
      </c>
      <c r="M12" s="28">
        <f>IFERROR(INDEX(REPORT_DATA_BY_COMP!$A:$AI,$E12,MATCH(M$8,REPORT_DATA_BY_COMP!$A$1:$AI$1,0)), "")</f>
        <v>8</v>
      </c>
      <c r="N12" s="8">
        <f>IFERROR(INDEX(REPORT_DATA_BY_COMP!$A:$AI,$E12,MATCH(N$8,REPORT_DATA_BY_COMP!$A$1:$AI$1,0)), "")</f>
        <v>2</v>
      </c>
      <c r="O12" s="8">
        <f>IFERROR(INDEX(REPORT_DATA_BY_COMP!$A:$AI,$E12,MATCH(O$8,REPORT_DATA_BY_COMP!$A$1:$AI$1,0)), "")</f>
        <v>9</v>
      </c>
      <c r="P12" s="8">
        <f>IFERROR(INDEX(REPORT_DATA_BY_COMP!$A:$AI,$E12,MATCH(P$8,REPORT_DATA_BY_COMP!$A$1:$AI$1,0)), "")</f>
        <v>5</v>
      </c>
      <c r="Q12" s="8">
        <f>IFERROR(INDEX(REPORT_DATA_BY_COMP!$A:$AI,$E12,MATCH(Q$8,REPORT_DATA_BY_COMP!$A$1:$AI$1,0)), "")</f>
        <v>0</v>
      </c>
      <c r="R12" s="8">
        <f>IFERROR(INDEX(REPORT_DATA_BY_COMP!$A:$AI,$E12,MATCH(R$8,REPORT_DATA_BY_COMP!$A$1:$AI$1,0)), "")</f>
        <v>4</v>
      </c>
    </row>
    <row r="13" spans="1:18" ht="15" customHeight="1">
      <c r="A13" s="6">
        <v>-4</v>
      </c>
      <c r="B13" s="15">
        <f t="shared" ref="B13:B17" si="2">DATE+7*A13</f>
        <v>42491</v>
      </c>
      <c r="C13" s="14">
        <f t="shared" ref="C13:C17" si="3">INT((DAY(B13)-1)/7)+1</f>
        <v>1</v>
      </c>
      <c r="D13" s="6" t="str">
        <f t="shared" si="1"/>
        <v>2016:5:1:7:ZHUNAN_ZL</v>
      </c>
      <c r="E13" s="42">
        <f>MATCH($D13,REPORT_DATA_BY_COMP!$A:$A,0)</f>
        <v>1560</v>
      </c>
      <c r="F13" s="50">
        <f t="shared" ref="F13:F17" si="4">B13</f>
        <v>42491</v>
      </c>
      <c r="G13" s="8">
        <f>IFERROR(INDEX(REPORT_DATA_BY_COMP!$A:$AI,$E13,MATCH(G$8,REPORT_DATA_BY_COMP!$A$1:$AI$1,0)), "")</f>
        <v>0</v>
      </c>
      <c r="H13" s="8">
        <f>IFERROR(INDEX(REPORT_DATA_BY_COMP!$A:$AI,$E13,MATCH(H$8,REPORT_DATA_BY_COMP!$A$1:$AI$1,0)), "")</f>
        <v>1</v>
      </c>
      <c r="I13" s="8">
        <f>IFERROR(INDEX(REPORT_DATA_BY_COMP!$A:$AI,$E13,MATCH(I$8,REPORT_DATA_BY_COMP!$A$1:$AI$1,0)), "")</f>
        <v>6</v>
      </c>
      <c r="J13" s="8">
        <f>IFERROR(INDEX(REPORT_DATA_BY_COMP!$A:$AI,$E13,MATCH(J$8,REPORT_DATA_BY_COMP!$A$1:$AI$1,0)), "")</f>
        <v>2</v>
      </c>
      <c r="K13" s="26">
        <f>IFERROR(INDEX(REPORT_DATA_BY_COMP!$A:$AI,$E13,MATCH(K$8,REPORT_DATA_BY_COMP!$A$1:$AI$1,0)), "")</f>
        <v>0</v>
      </c>
      <c r="L13" s="32">
        <f>IFERROR(INDEX(REPORT_DATA_BY_COMP!$A:$AI,$E13,MATCH(L$8,REPORT_DATA_BY_COMP!$A$1:$AI$1,0)), "")</f>
        <v>0</v>
      </c>
      <c r="M13" s="28">
        <f>IFERROR(INDEX(REPORT_DATA_BY_COMP!$A:$AI,$E13,MATCH(M$8,REPORT_DATA_BY_COMP!$A$1:$AI$1,0)), "")</f>
        <v>9</v>
      </c>
      <c r="N13" s="8">
        <f>IFERROR(INDEX(REPORT_DATA_BY_COMP!$A:$AI,$E13,MATCH(N$8,REPORT_DATA_BY_COMP!$A$1:$AI$1,0)), "")</f>
        <v>4</v>
      </c>
      <c r="O13" s="8">
        <f>IFERROR(INDEX(REPORT_DATA_BY_COMP!$A:$AI,$E13,MATCH(O$8,REPORT_DATA_BY_COMP!$A$1:$AI$1,0)), "")</f>
        <v>9</v>
      </c>
      <c r="P13" s="8">
        <f>IFERROR(INDEX(REPORT_DATA_BY_COMP!$A:$AI,$E13,MATCH(P$8,REPORT_DATA_BY_COMP!$A$1:$AI$1,0)), "")</f>
        <v>7</v>
      </c>
      <c r="Q13" s="8">
        <f>IFERROR(INDEX(REPORT_DATA_BY_COMP!$A:$AI,$E13,MATCH(Q$8,REPORT_DATA_BY_COMP!$A$1:$AI$1,0)), "")</f>
        <v>1</v>
      </c>
      <c r="R13" s="8">
        <f>IFERROR(INDEX(REPORT_DATA_BY_COMP!$A:$AI,$E13,MATCH(R$8,REPORT_DATA_BY_COMP!$A$1:$AI$1,0)), "")</f>
        <v>11</v>
      </c>
    </row>
    <row r="14" spans="1:18" ht="15" customHeight="1">
      <c r="A14" s="6">
        <v>-3</v>
      </c>
      <c r="B14" s="15">
        <f t="shared" si="2"/>
        <v>42498</v>
      </c>
      <c r="C14" s="14">
        <f t="shared" si="3"/>
        <v>2</v>
      </c>
      <c r="D14" s="6" t="str">
        <f t="shared" si="1"/>
        <v>2016:5:2:7:ZHUNAN_ZL</v>
      </c>
      <c r="E14" s="42">
        <f>MATCH($D14,REPORT_DATA_BY_COMP!$A:$A,0)</f>
        <v>1656</v>
      </c>
      <c r="F14" s="50">
        <f t="shared" si="4"/>
        <v>42498</v>
      </c>
      <c r="G14" s="8">
        <f>IFERROR(INDEX(REPORT_DATA_BY_COMP!$A:$AI,$E14,MATCH(G$8,REPORT_DATA_BY_COMP!$A$1:$AI$1,0)), "")</f>
        <v>1</v>
      </c>
      <c r="H14" s="8">
        <f>IFERROR(INDEX(REPORT_DATA_BY_COMP!$A:$AI,$E14,MATCH(H$8,REPORT_DATA_BY_COMP!$A$1:$AI$1,0)), "")</f>
        <v>2</v>
      </c>
      <c r="I14" s="8">
        <f>IFERROR(INDEX(REPORT_DATA_BY_COMP!$A:$AI,$E14,MATCH(I$8,REPORT_DATA_BY_COMP!$A$1:$AI$1,0)), "")</f>
        <v>4</v>
      </c>
      <c r="J14" s="8">
        <f>IFERROR(INDEX(REPORT_DATA_BY_COMP!$A:$AI,$E14,MATCH(J$8,REPORT_DATA_BY_COMP!$A$1:$AI$1,0)), "")</f>
        <v>2</v>
      </c>
      <c r="K14" s="26">
        <f>IFERROR(INDEX(REPORT_DATA_BY_COMP!$A:$AI,$E14,MATCH(K$8,REPORT_DATA_BY_COMP!$A$1:$AI$1,0)), "")</f>
        <v>1</v>
      </c>
      <c r="L14" s="32">
        <f>IFERROR(INDEX(REPORT_DATA_BY_COMP!$A:$AI,$E14,MATCH(L$8,REPORT_DATA_BY_COMP!$A$1:$AI$1,0)), "")</f>
        <v>0</v>
      </c>
      <c r="M14" s="28">
        <f>IFERROR(INDEX(REPORT_DATA_BY_COMP!$A:$AI,$E14,MATCH(M$8,REPORT_DATA_BY_COMP!$A$1:$AI$1,0)), "")</f>
        <v>9</v>
      </c>
      <c r="N14" s="8">
        <f>IFERROR(INDEX(REPORT_DATA_BY_COMP!$A:$AI,$E14,MATCH(N$8,REPORT_DATA_BY_COMP!$A$1:$AI$1,0)), "")</f>
        <v>4</v>
      </c>
      <c r="O14" s="8">
        <f>IFERROR(INDEX(REPORT_DATA_BY_COMP!$A:$AI,$E14,MATCH(O$8,REPORT_DATA_BY_COMP!$A$1:$AI$1,0)), "")</f>
        <v>10</v>
      </c>
      <c r="P14" s="8">
        <f>IFERROR(INDEX(REPORT_DATA_BY_COMP!$A:$AI,$E14,MATCH(P$8,REPORT_DATA_BY_COMP!$A$1:$AI$1,0)), "")</f>
        <v>9</v>
      </c>
      <c r="Q14" s="8">
        <f>IFERROR(INDEX(REPORT_DATA_BY_COMP!$A:$AI,$E14,MATCH(Q$8,REPORT_DATA_BY_COMP!$A$1:$AI$1,0)), "")</f>
        <v>0</v>
      </c>
      <c r="R14" s="8">
        <f>IFERROR(INDEX(REPORT_DATA_BY_COMP!$A:$AI,$E14,MATCH(R$8,REPORT_DATA_BY_COMP!$A$1:$AI$1,0)), "")</f>
        <v>4</v>
      </c>
    </row>
    <row r="15" spans="1:18" ht="15" customHeight="1">
      <c r="A15" s="6">
        <v>-2</v>
      </c>
      <c r="B15" s="15">
        <f t="shared" si="2"/>
        <v>42505</v>
      </c>
      <c r="C15" s="14">
        <f t="shared" si="3"/>
        <v>3</v>
      </c>
      <c r="D15" s="6" t="str">
        <f t="shared" si="1"/>
        <v>2016:5:3:7:ZHUNAN_ZL</v>
      </c>
      <c r="E15" s="42">
        <f>MATCH($D15,REPORT_DATA_BY_COMP!$A:$A,0)</f>
        <v>1753</v>
      </c>
      <c r="F15" s="50">
        <f t="shared" si="4"/>
        <v>42505</v>
      </c>
      <c r="G15" s="8">
        <f>IFERROR(INDEX(REPORT_DATA_BY_COMP!$A:$AI,$E15,MATCH(G$8,REPORT_DATA_BY_COMP!$A$1:$AI$1,0)), "")</f>
        <v>1</v>
      </c>
      <c r="H15" s="8">
        <f>IFERROR(INDEX(REPORT_DATA_BY_COMP!$A:$AI,$E15,MATCH(H$8,REPORT_DATA_BY_COMP!$A$1:$AI$1,0)), "")</f>
        <v>2</v>
      </c>
      <c r="I15" s="8">
        <f>IFERROR(INDEX(REPORT_DATA_BY_COMP!$A:$AI,$E15,MATCH(I$8,REPORT_DATA_BY_COMP!$A$1:$AI$1,0)), "")</f>
        <v>3</v>
      </c>
      <c r="J15" s="8">
        <f>IFERROR(INDEX(REPORT_DATA_BY_COMP!$A:$AI,$E15,MATCH(J$8,REPORT_DATA_BY_COMP!$A$1:$AI$1,0)), "")</f>
        <v>1</v>
      </c>
      <c r="K15" s="26">
        <f>IFERROR(INDEX(REPORT_DATA_BY_COMP!$A:$AI,$E15,MATCH(K$8,REPORT_DATA_BY_COMP!$A$1:$AI$1,0)), "")</f>
        <v>3</v>
      </c>
      <c r="L15" s="32">
        <f>IFERROR(INDEX(REPORT_DATA_BY_COMP!$A:$AI,$E15,MATCH(L$8,REPORT_DATA_BY_COMP!$A$1:$AI$1,0)), "")</f>
        <v>0</v>
      </c>
      <c r="M15" s="28">
        <f>IFERROR(INDEX(REPORT_DATA_BY_COMP!$A:$AI,$E15,MATCH(M$8,REPORT_DATA_BY_COMP!$A$1:$AI$1,0)), "")</f>
        <v>8</v>
      </c>
      <c r="N15" s="8">
        <f>IFERROR(INDEX(REPORT_DATA_BY_COMP!$A:$AI,$E15,MATCH(N$8,REPORT_DATA_BY_COMP!$A$1:$AI$1,0)), "")</f>
        <v>4</v>
      </c>
      <c r="O15" s="8">
        <f>IFERROR(INDEX(REPORT_DATA_BY_COMP!$A:$AI,$E15,MATCH(O$8,REPORT_DATA_BY_COMP!$A$1:$AI$1,0)), "")</f>
        <v>7</v>
      </c>
      <c r="P15" s="8">
        <f>IFERROR(INDEX(REPORT_DATA_BY_COMP!$A:$AI,$E15,MATCH(P$8,REPORT_DATA_BY_COMP!$A$1:$AI$1,0)), "")</f>
        <v>5</v>
      </c>
      <c r="Q15" s="8">
        <f>IFERROR(INDEX(REPORT_DATA_BY_COMP!$A:$AI,$E15,MATCH(Q$8,REPORT_DATA_BY_COMP!$A$1:$AI$1,0)), "")</f>
        <v>0</v>
      </c>
      <c r="R15" s="8">
        <f>IFERROR(INDEX(REPORT_DATA_BY_COMP!$A:$AI,$E15,MATCH(R$8,REPORT_DATA_BY_COMP!$A$1:$AI$1,0)), "")</f>
        <v>12</v>
      </c>
    </row>
    <row r="16" spans="1:18" ht="15" customHeight="1">
      <c r="A16" s="6">
        <v>-1</v>
      </c>
      <c r="B16" s="15">
        <f t="shared" si="2"/>
        <v>42512</v>
      </c>
      <c r="C16" s="14">
        <f t="shared" si="3"/>
        <v>4</v>
      </c>
      <c r="D16" s="6" t="str">
        <f t="shared" si="1"/>
        <v>2016:5:4:7:ZHUNAN_ZL</v>
      </c>
      <c r="E16" s="42">
        <f>MATCH($D16,REPORT_DATA_BY_COMP!$A:$A,0)</f>
        <v>1851</v>
      </c>
      <c r="F16" s="50">
        <f t="shared" si="4"/>
        <v>42512</v>
      </c>
      <c r="G16" s="8">
        <f>IFERROR(INDEX(REPORT_DATA_BY_COMP!$A:$AI,$E16,MATCH(G$8,REPORT_DATA_BY_COMP!$A$1:$AI$1,0)), "")</f>
        <v>0</v>
      </c>
      <c r="H16" s="8">
        <f>IFERROR(INDEX(REPORT_DATA_BY_COMP!$A:$AI,$E16,MATCH(H$8,REPORT_DATA_BY_COMP!$A$1:$AI$1,0)), "")</f>
        <v>0</v>
      </c>
      <c r="I16" s="8">
        <f>IFERROR(INDEX(REPORT_DATA_BY_COMP!$A:$AI,$E16,MATCH(I$8,REPORT_DATA_BY_COMP!$A$1:$AI$1,0)), "")</f>
        <v>3</v>
      </c>
      <c r="J16" s="8">
        <f>IFERROR(INDEX(REPORT_DATA_BY_COMP!$A:$AI,$E16,MATCH(J$8,REPORT_DATA_BY_COMP!$A$1:$AI$1,0)), "")</f>
        <v>1</v>
      </c>
      <c r="K16" s="26">
        <f>IFERROR(INDEX(REPORT_DATA_BY_COMP!$A:$AI,$E16,MATCH(K$8,REPORT_DATA_BY_COMP!$A$1:$AI$1,0)), "")</f>
        <v>0</v>
      </c>
      <c r="L16" s="32">
        <f>IFERROR(INDEX(REPORT_DATA_BY_COMP!$A:$AI,$E16,MATCH(L$8,REPORT_DATA_BY_COMP!$A$1:$AI$1,0)), "")</f>
        <v>3</v>
      </c>
      <c r="M16" s="28">
        <f>IFERROR(INDEX(REPORT_DATA_BY_COMP!$A:$AI,$E16,MATCH(M$8,REPORT_DATA_BY_COMP!$A$1:$AI$1,0)), "")</f>
        <v>5</v>
      </c>
      <c r="N16" s="8">
        <f>IFERROR(INDEX(REPORT_DATA_BY_COMP!$A:$AI,$E16,MATCH(N$8,REPORT_DATA_BY_COMP!$A$1:$AI$1,0)), "")</f>
        <v>1</v>
      </c>
      <c r="O16" s="8">
        <f>IFERROR(INDEX(REPORT_DATA_BY_COMP!$A:$AI,$E16,MATCH(O$8,REPORT_DATA_BY_COMP!$A$1:$AI$1,0)), "")</f>
        <v>7</v>
      </c>
      <c r="P16" s="8">
        <f>IFERROR(INDEX(REPORT_DATA_BY_COMP!$A:$AI,$E16,MATCH(P$8,REPORT_DATA_BY_COMP!$A$1:$AI$1,0)), "")</f>
        <v>4</v>
      </c>
      <c r="Q16" s="8">
        <f>IFERROR(INDEX(REPORT_DATA_BY_COMP!$A:$AI,$E16,MATCH(Q$8,REPORT_DATA_BY_COMP!$A$1:$AI$1,0)), "")</f>
        <v>0</v>
      </c>
      <c r="R16" s="8">
        <f>IFERROR(INDEX(REPORT_DATA_BY_COMP!$A:$AI,$E16,MATCH(R$8,REPORT_DATA_BY_COMP!$A$1:$AI$1,0)), "")</f>
        <v>4</v>
      </c>
    </row>
    <row r="17" spans="1:18" ht="15" customHeight="1">
      <c r="A17" s="6">
        <v>0</v>
      </c>
      <c r="B17" s="15">
        <f t="shared" si="2"/>
        <v>42519</v>
      </c>
      <c r="C17" s="14">
        <f t="shared" si="3"/>
        <v>5</v>
      </c>
      <c r="D17" s="6" t="str">
        <f t="shared" si="1"/>
        <v>2016:5:5:7:ZHUNAN_ZL</v>
      </c>
      <c r="E17" s="42">
        <f>MATCH($D17,REPORT_DATA_BY_COMP!$A:$A,0)</f>
        <v>1947</v>
      </c>
      <c r="F17" s="50">
        <f t="shared" si="4"/>
        <v>42519</v>
      </c>
      <c r="G17" s="8">
        <f>IFERROR(INDEX(REPORT_DATA_BY_COMP!$A:$AI,$E17,MATCH(G$8,REPORT_DATA_BY_COMP!$A$1:$AI$1,0)), "")</f>
        <v>0</v>
      </c>
      <c r="H17" s="8">
        <f>IFERROR(INDEX(REPORT_DATA_BY_COMP!$A:$AI,$E17,MATCH(H$8,REPORT_DATA_BY_COMP!$A$1:$AI$1,0)), "")</f>
        <v>0</v>
      </c>
      <c r="I17" s="8">
        <f>IFERROR(INDEX(REPORT_DATA_BY_COMP!$A:$AI,$E17,MATCH(I$8,REPORT_DATA_BY_COMP!$A$1:$AI$1,0)), "")</f>
        <v>3</v>
      </c>
      <c r="J17" s="8">
        <f>IFERROR(INDEX(REPORT_DATA_BY_COMP!$A:$AI,$E17,MATCH(J$8,REPORT_DATA_BY_COMP!$A$1:$AI$1,0)), "")</f>
        <v>2</v>
      </c>
      <c r="K17" s="26">
        <f>IFERROR(INDEX(REPORT_DATA_BY_COMP!$A:$AI,$E17,MATCH(K$8,REPORT_DATA_BY_COMP!$A$1:$AI$1,0)), "")</f>
        <v>0</v>
      </c>
      <c r="L17" s="32">
        <f>IFERROR(INDEX(REPORT_DATA_BY_COMP!$A:$AI,$E17,MATCH(L$8,REPORT_DATA_BY_COMP!$A$1:$AI$1,0)), "")</f>
        <v>0</v>
      </c>
      <c r="M17" s="28">
        <f>IFERROR(INDEX(REPORT_DATA_BY_COMP!$A:$AI,$E17,MATCH(M$8,REPORT_DATA_BY_COMP!$A$1:$AI$1,0)), "")</f>
        <v>5</v>
      </c>
      <c r="N17" s="8">
        <f>IFERROR(INDEX(REPORT_DATA_BY_COMP!$A:$AI,$E17,MATCH(N$8,REPORT_DATA_BY_COMP!$A$1:$AI$1,0)), "")</f>
        <v>0</v>
      </c>
      <c r="O17" s="8">
        <f>IFERROR(INDEX(REPORT_DATA_BY_COMP!$A:$AI,$E17,MATCH(O$8,REPORT_DATA_BY_COMP!$A$1:$AI$1,0)), "")</f>
        <v>9</v>
      </c>
      <c r="P17" s="8">
        <f>IFERROR(INDEX(REPORT_DATA_BY_COMP!$A:$AI,$E17,MATCH(P$8,REPORT_DATA_BY_COMP!$A$1:$AI$1,0)), "")</f>
        <v>3</v>
      </c>
      <c r="Q17" s="8">
        <f>IFERROR(INDEX(REPORT_DATA_BY_COMP!$A:$AI,$E17,MATCH(Q$8,REPORT_DATA_BY_COMP!$A$1:$AI$1,0)), "")</f>
        <v>0</v>
      </c>
      <c r="R17" s="8">
        <f>IFERROR(INDEX(REPORT_DATA_BY_COMP!$A:$AI,$E17,MATCH(R$8,REPORT_DATA_BY_COMP!$A$1:$AI$1,0)), "")</f>
        <v>5</v>
      </c>
    </row>
    <row r="18" spans="1:18" ht="15" customHeight="1" thickBot="1">
      <c r="F18" s="7" t="s">
        <v>496</v>
      </c>
      <c r="G18" s="9">
        <f>SUM(G12:G15)</f>
        <v>2</v>
      </c>
      <c r="H18" s="9">
        <f t="shared" ref="H18:Q18" si="5">SUM(H12:H15)</f>
        <v>6</v>
      </c>
      <c r="I18" s="9">
        <f t="shared" si="5"/>
        <v>16</v>
      </c>
      <c r="J18" s="9">
        <f t="shared" si="5"/>
        <v>9</v>
      </c>
      <c r="K18" s="27">
        <f t="shared" si="5"/>
        <v>4</v>
      </c>
      <c r="L18" s="51">
        <f t="shared" si="5"/>
        <v>0</v>
      </c>
      <c r="M18" s="29">
        <f t="shared" si="5"/>
        <v>34</v>
      </c>
      <c r="N18" s="9">
        <f t="shared" si="5"/>
        <v>14</v>
      </c>
      <c r="O18" s="9">
        <f t="shared" si="5"/>
        <v>35</v>
      </c>
      <c r="P18" s="9">
        <f t="shared" si="5"/>
        <v>26</v>
      </c>
      <c r="Q18" s="9">
        <f t="shared" si="5"/>
        <v>1</v>
      </c>
      <c r="R18" s="9">
        <f>SUM(R12:R15)</f>
        <v>31</v>
      </c>
    </row>
    <row r="19" spans="1:18" ht="15.75" thickTop="1"/>
    <row r="25" spans="1:18">
      <c r="D25" s="53"/>
    </row>
  </sheetData>
  <mergeCells count="11">
    <mergeCell ref="R1:R5"/>
    <mergeCell ref="F2:F3"/>
    <mergeCell ref="F4:F5"/>
    <mergeCell ref="G4:K4"/>
    <mergeCell ref="G5:K5"/>
    <mergeCell ref="L1:L5"/>
    <mergeCell ref="M1:M5"/>
    <mergeCell ref="N1:N5"/>
    <mergeCell ref="O1:O5"/>
    <mergeCell ref="P1:P5"/>
    <mergeCell ref="Q1:Q5"/>
  </mergeCells>
  <conditionalFormatting sqref="L12:R15">
    <cfRule type="expression" dxfId="7" priority="6">
      <formula>AND(L$9&lt;&gt;"",L12&gt;=L$9)</formula>
    </cfRule>
  </conditionalFormatting>
  <conditionalFormatting sqref="L12:R15">
    <cfRule type="expression" dxfId="6" priority="5">
      <formula>I12=""</formula>
    </cfRule>
    <cfRule type="expression" dxfId="5" priority="7">
      <formula>AND(L$10&lt;&gt;"",L12&lt;L$10)</formula>
    </cfRule>
    <cfRule type="expression" dxfId="4" priority="8">
      <formula>AND(L$10&lt;&gt;"",L12&gt;=L$10)</formula>
    </cfRule>
  </conditionalFormatting>
  <conditionalFormatting sqref="L16:R17">
    <cfRule type="expression" dxfId="3" priority="2">
      <formula>AND(L$9&lt;&gt;"",L16&gt;=L$9)</formula>
    </cfRule>
  </conditionalFormatting>
  <conditionalFormatting sqref="L16:R17">
    <cfRule type="expression" dxfId="2" priority="1">
      <formula>I16=""</formula>
    </cfRule>
    <cfRule type="expression" dxfId="1" priority="3">
      <formula>AND(L$10&lt;&gt;"",L16&lt;L$10)</formula>
    </cfRule>
    <cfRule type="expression" dxfId="0" priority="4">
      <formula>AND(L$10&lt;&gt;"",L16&gt;=L$10)</formula>
    </cfRule>
  </conditionalFormatting>
  <printOptions horizontalCentered="1" verticalCentere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Z109"/>
  <sheetViews>
    <sheetView zoomScale="85" zoomScaleNormal="85" workbookViewId="0">
      <selection activeCell="T22" sqref="T22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5.5703125" style="6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1185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2" ht="15" customHeight="1"/>
    <row r="50" spans="23:52" ht="15" customHeight="1"/>
    <row r="51" spans="23:52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2">
      <c r="W52" s="6" t="s">
        <v>501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499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502</v>
      </c>
      <c r="AM52" s="6" t="s">
        <v>13</v>
      </c>
      <c r="AN52" s="14" t="s">
        <v>503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</row>
    <row r="53" spans="23:52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2014:1:0:0:ZHUNAN_ZL</v>
      </c>
      <c r="AB53" s="14" t="e">
        <f t="shared" ref="AB53:AB88" ca="1" si="3">MATCH($AA53,INDIRECT(CONCATENATE($X$94,"$A:$A")),0)</f>
        <v>#N/A</v>
      </c>
      <c r="AC53" s="12" t="e">
        <f t="shared" ref="AC53:AC88" ca="1" si="4">INDEX(INDIRECT(CONCATENATE($X$94,"$A:$AG")),$AB53,MATCH(AC$52,INDIRECT(CONCATENATE($X$94,"$A$1:$AG$1")),0))</f>
        <v>#N/A</v>
      </c>
      <c r="AD53" s="12">
        <f t="shared" ref="AD53:AD88" si="5">$X$98</f>
        <v>1</v>
      </c>
      <c r="AE53" s="14" t="e">
        <f t="shared" ref="AE53:AE88" ca="1" si="6">MATCH($AA53,INDIRECT(CONCATENATE($X$95,"$A:$A")), 0)</f>
        <v>#N/A</v>
      </c>
      <c r="AF53" s="8" t="str">
        <f t="shared" ref="AF53:AK62" ca="1" si="7">IFERROR(INDEX(INDIRECT(CONCATENATE($X$95,"$A:$Z")),$AE53,MATCH(AF$52,INDIRECT(CONCATENATE($X$95,"$A1:$Z1")),0)),"")</f>
        <v/>
      </c>
      <c r="AG53" s="8" t="str">
        <f t="shared" ca="1" si="7"/>
        <v/>
      </c>
      <c r="AH53" s="8" t="str">
        <f t="shared" ca="1" si="7"/>
        <v/>
      </c>
      <c r="AI53" s="8" t="str">
        <f t="shared" ca="1" si="7"/>
        <v/>
      </c>
      <c r="AJ53" s="8" t="str">
        <f t="shared" ca="1" si="7"/>
        <v/>
      </c>
      <c r="AK53" s="8" t="str">
        <f t="shared" ca="1" si="7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3:52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2014:2:0:0:ZHUNAN_ZL</v>
      </c>
      <c r="AB54" s="14" t="e">
        <f t="shared" ca="1" si="3"/>
        <v>#N/A</v>
      </c>
      <c r="AC54" s="12" t="e">
        <f t="shared" ca="1" si="4"/>
        <v>#N/A</v>
      </c>
      <c r="AD54" s="12">
        <f t="shared" si="5"/>
        <v>1</v>
      </c>
      <c r="AE54" s="14" t="e">
        <f t="shared" ca="1" si="6"/>
        <v>#N/A</v>
      </c>
      <c r="AF54" s="8" t="str">
        <f t="shared" ca="1" si="7"/>
        <v/>
      </c>
      <c r="AG54" s="8" t="str">
        <f t="shared" ca="1" si="7"/>
        <v/>
      </c>
      <c r="AH54" s="8" t="str">
        <f t="shared" ca="1" si="7"/>
        <v/>
      </c>
      <c r="AI54" s="8" t="str">
        <f t="shared" ca="1" si="7"/>
        <v/>
      </c>
      <c r="AJ54" s="8" t="str">
        <f t="shared" ca="1" si="7"/>
        <v/>
      </c>
      <c r="AK54" s="8" t="str">
        <f t="shared" ca="1" si="7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3:52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2014:3:0:0:ZHUNAN_ZL</v>
      </c>
      <c r="AB55" s="14" t="e">
        <f t="shared" ca="1" si="3"/>
        <v>#N/A</v>
      </c>
      <c r="AC55" s="12" t="e">
        <f t="shared" ca="1" si="4"/>
        <v>#N/A</v>
      </c>
      <c r="AD55" s="12">
        <f t="shared" si="5"/>
        <v>1</v>
      </c>
      <c r="AE55" s="14" t="e">
        <f t="shared" ca="1" si="6"/>
        <v>#N/A</v>
      </c>
      <c r="AF55" s="8" t="str">
        <f t="shared" ca="1" si="7"/>
        <v/>
      </c>
      <c r="AG55" s="8" t="str">
        <f t="shared" ca="1" si="7"/>
        <v/>
      </c>
      <c r="AH55" s="8" t="str">
        <f t="shared" ca="1" si="7"/>
        <v/>
      </c>
      <c r="AI55" s="8" t="str">
        <f t="shared" ca="1" si="7"/>
        <v/>
      </c>
      <c r="AJ55" s="8" t="str">
        <f t="shared" ca="1" si="7"/>
        <v/>
      </c>
      <c r="AK55" s="8" t="str">
        <f t="shared" ca="1" si="7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3:52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2014:4:0:0:ZHUNAN_ZL</v>
      </c>
      <c r="AB56" s="14" t="e">
        <f t="shared" ca="1" si="3"/>
        <v>#N/A</v>
      </c>
      <c r="AC56" s="12" t="e">
        <f t="shared" ca="1" si="4"/>
        <v>#N/A</v>
      </c>
      <c r="AD56" s="12">
        <f t="shared" si="5"/>
        <v>1</v>
      </c>
      <c r="AE56" s="14" t="e">
        <f t="shared" ca="1" si="6"/>
        <v>#N/A</v>
      </c>
      <c r="AF56" s="8" t="str">
        <f t="shared" ca="1" si="7"/>
        <v/>
      </c>
      <c r="AG56" s="8" t="str">
        <f t="shared" ca="1" si="7"/>
        <v/>
      </c>
      <c r="AH56" s="8" t="str">
        <f t="shared" ca="1" si="7"/>
        <v/>
      </c>
      <c r="AI56" s="8" t="str">
        <f t="shared" ca="1" si="7"/>
        <v/>
      </c>
      <c r="AJ56" s="8" t="str">
        <f t="shared" ca="1" si="7"/>
        <v/>
      </c>
      <c r="AK56" s="8" t="str">
        <f t="shared" ca="1" si="7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3:52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2014:5:0:0:ZHUNAN_ZL</v>
      </c>
      <c r="AB57" s="14" t="e">
        <f t="shared" ca="1" si="3"/>
        <v>#N/A</v>
      </c>
      <c r="AC57" s="12" t="e">
        <f t="shared" ca="1" si="4"/>
        <v>#N/A</v>
      </c>
      <c r="AD57" s="12">
        <f t="shared" si="5"/>
        <v>1</v>
      </c>
      <c r="AE57" s="14" t="e">
        <f t="shared" ca="1" si="6"/>
        <v>#N/A</v>
      </c>
      <c r="AF57" s="8" t="str">
        <f t="shared" ca="1" si="7"/>
        <v/>
      </c>
      <c r="AG57" s="8" t="str">
        <f t="shared" ca="1" si="7"/>
        <v/>
      </c>
      <c r="AH57" s="8" t="str">
        <f t="shared" ca="1" si="7"/>
        <v/>
      </c>
      <c r="AI57" s="8" t="str">
        <f t="shared" ca="1" si="7"/>
        <v/>
      </c>
      <c r="AJ57" s="8" t="str">
        <f t="shared" ca="1" si="7"/>
        <v/>
      </c>
      <c r="AK57" s="8" t="str">
        <f t="shared" ca="1" si="7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3:52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2014:6:0:0:ZHUNAN_ZL</v>
      </c>
      <c r="AB58" s="14" t="e">
        <f t="shared" ca="1" si="3"/>
        <v>#N/A</v>
      </c>
      <c r="AC58" s="12" t="e">
        <f t="shared" ca="1" si="4"/>
        <v>#N/A</v>
      </c>
      <c r="AD58" s="12">
        <f t="shared" si="5"/>
        <v>1</v>
      </c>
      <c r="AE58" s="14" t="e">
        <f t="shared" ca="1" si="6"/>
        <v>#N/A</v>
      </c>
      <c r="AF58" s="8" t="str">
        <f t="shared" ca="1" si="7"/>
        <v/>
      </c>
      <c r="AG58" s="8" t="str">
        <f t="shared" ca="1" si="7"/>
        <v/>
      </c>
      <c r="AH58" s="8" t="str">
        <f t="shared" ca="1" si="7"/>
        <v/>
      </c>
      <c r="AI58" s="8" t="str">
        <f t="shared" ca="1" si="7"/>
        <v/>
      </c>
      <c r="AJ58" s="8" t="str">
        <f t="shared" ca="1" si="7"/>
        <v/>
      </c>
      <c r="AK58" s="8" t="str">
        <f t="shared" ca="1" si="7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3:52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2014:7:0:0:ZHUNAN_ZL</v>
      </c>
      <c r="AB59" s="14" t="e">
        <f t="shared" ca="1" si="3"/>
        <v>#N/A</v>
      </c>
      <c r="AC59" s="12" t="e">
        <f t="shared" ca="1" si="4"/>
        <v>#N/A</v>
      </c>
      <c r="AD59" s="12">
        <f t="shared" si="5"/>
        <v>1</v>
      </c>
      <c r="AE59" s="14" t="e">
        <f t="shared" ca="1" si="6"/>
        <v>#N/A</v>
      </c>
      <c r="AF59" s="8" t="str">
        <f t="shared" ca="1" si="7"/>
        <v/>
      </c>
      <c r="AG59" s="8" t="str">
        <f t="shared" ca="1" si="7"/>
        <v/>
      </c>
      <c r="AH59" s="8" t="str">
        <f t="shared" ca="1" si="7"/>
        <v/>
      </c>
      <c r="AI59" s="8" t="str">
        <f t="shared" ca="1" si="7"/>
        <v/>
      </c>
      <c r="AJ59" s="8" t="str">
        <f t="shared" ca="1" si="7"/>
        <v/>
      </c>
      <c r="AK59" s="8" t="str">
        <f t="shared" ca="1" si="7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3:52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2014:8:0:0:ZHUNAN_ZL</v>
      </c>
      <c r="AB60" s="14" t="e">
        <f t="shared" ca="1" si="3"/>
        <v>#N/A</v>
      </c>
      <c r="AC60" s="12" t="e">
        <f t="shared" ca="1" si="4"/>
        <v>#N/A</v>
      </c>
      <c r="AD60" s="12">
        <f t="shared" si="5"/>
        <v>1</v>
      </c>
      <c r="AE60" s="14" t="e">
        <f t="shared" ca="1" si="6"/>
        <v>#N/A</v>
      </c>
      <c r="AF60" s="8" t="str">
        <f t="shared" ca="1" si="7"/>
        <v/>
      </c>
      <c r="AG60" s="8" t="str">
        <f t="shared" ca="1" si="7"/>
        <v/>
      </c>
      <c r="AH60" s="8" t="str">
        <f t="shared" ca="1" si="7"/>
        <v/>
      </c>
      <c r="AI60" s="8" t="str">
        <f t="shared" ca="1" si="7"/>
        <v/>
      </c>
      <c r="AJ60" s="8" t="str">
        <f t="shared" ca="1" si="7"/>
        <v/>
      </c>
      <c r="AK60" s="8" t="str">
        <f t="shared" ca="1" si="7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3:52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2014:9:0:0:ZHUNAN_ZL</v>
      </c>
      <c r="AB61" s="14" t="e">
        <f t="shared" ca="1" si="3"/>
        <v>#N/A</v>
      </c>
      <c r="AC61" s="12" t="e">
        <f t="shared" ca="1" si="4"/>
        <v>#N/A</v>
      </c>
      <c r="AD61" s="12">
        <f t="shared" si="5"/>
        <v>1</v>
      </c>
      <c r="AE61" s="14" t="e">
        <f t="shared" ca="1" si="6"/>
        <v>#N/A</v>
      </c>
      <c r="AF61" s="8" t="str">
        <f t="shared" ca="1" si="7"/>
        <v/>
      </c>
      <c r="AG61" s="8" t="str">
        <f t="shared" ca="1" si="7"/>
        <v/>
      </c>
      <c r="AH61" s="8" t="str">
        <f t="shared" ca="1" si="7"/>
        <v/>
      </c>
      <c r="AI61" s="8" t="str">
        <f t="shared" ca="1" si="7"/>
        <v/>
      </c>
      <c r="AJ61" s="8" t="str">
        <f t="shared" ca="1" si="7"/>
        <v/>
      </c>
      <c r="AK61" s="8" t="str">
        <f t="shared" ca="1" si="7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3:52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2014:10:0:0:ZHUNAN_ZL</v>
      </c>
      <c r="AB62" s="14" t="e">
        <f t="shared" ca="1" si="3"/>
        <v>#N/A</v>
      </c>
      <c r="AC62" s="12" t="e">
        <f t="shared" ca="1" si="4"/>
        <v>#N/A</v>
      </c>
      <c r="AD62" s="12">
        <f t="shared" si="5"/>
        <v>1</v>
      </c>
      <c r="AE62" s="14" t="e">
        <f t="shared" ca="1" si="6"/>
        <v>#N/A</v>
      </c>
      <c r="AF62" s="8" t="str">
        <f t="shared" ca="1" si="7"/>
        <v/>
      </c>
      <c r="AG62" s="8" t="str">
        <f t="shared" ca="1" si="7"/>
        <v/>
      </c>
      <c r="AH62" s="8" t="str">
        <f t="shared" ca="1" si="7"/>
        <v/>
      </c>
      <c r="AI62" s="8" t="str">
        <f t="shared" ca="1" si="7"/>
        <v/>
      </c>
      <c r="AJ62" s="8" t="str">
        <f t="shared" ca="1" si="7"/>
        <v/>
      </c>
      <c r="AK62" s="8" t="str">
        <f t="shared" ca="1" si="7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3:52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2014:11:0:0:ZHUNAN_ZL</v>
      </c>
      <c r="AB63" s="14" t="e">
        <f t="shared" ca="1" si="3"/>
        <v>#N/A</v>
      </c>
      <c r="AC63" s="12" t="e">
        <f t="shared" ca="1" si="4"/>
        <v>#N/A</v>
      </c>
      <c r="AD63" s="12">
        <f t="shared" si="5"/>
        <v>1</v>
      </c>
      <c r="AE63" s="14" t="e">
        <f t="shared" ca="1" si="6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3:52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2014:12:0:0:ZHUNAN_ZL</v>
      </c>
      <c r="AB64" s="14" t="e">
        <f t="shared" ca="1" si="3"/>
        <v>#N/A</v>
      </c>
      <c r="AC64" s="12" t="e">
        <f t="shared" ca="1" si="4"/>
        <v>#N/A</v>
      </c>
      <c r="AD64" s="12">
        <f t="shared" si="5"/>
        <v>1</v>
      </c>
      <c r="AE64" s="14" t="e">
        <f t="shared" ca="1" si="6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3:52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2015:1:0:0:ZHUNAN_ZL</v>
      </c>
      <c r="AB65" s="14" t="e">
        <f t="shared" ca="1" si="3"/>
        <v>#N/A</v>
      </c>
      <c r="AC65" s="12" t="e">
        <f t="shared" ca="1" si="4"/>
        <v>#N/A</v>
      </c>
      <c r="AD65" s="12">
        <f t="shared" si="5"/>
        <v>1</v>
      </c>
      <c r="AE65" s="14" t="e">
        <f t="shared" ca="1" si="6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3:52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2015:2:0:0:ZHUNAN_ZL</v>
      </c>
      <c r="AB66" s="14" t="e">
        <f t="shared" ca="1" si="3"/>
        <v>#N/A</v>
      </c>
      <c r="AC66" s="12" t="e">
        <f t="shared" ca="1" si="4"/>
        <v>#N/A</v>
      </c>
      <c r="AD66" s="12">
        <f t="shared" si="5"/>
        <v>1</v>
      </c>
      <c r="AE66" s="14" t="e">
        <f t="shared" ca="1" si="6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23:52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2015:3:0:0:ZHUNAN_ZL</v>
      </c>
      <c r="AB67" s="14" t="e">
        <f t="shared" ca="1" si="3"/>
        <v>#N/A</v>
      </c>
      <c r="AC67" s="12" t="e">
        <f t="shared" ca="1" si="4"/>
        <v>#N/A</v>
      </c>
      <c r="AD67" s="12">
        <f t="shared" si="5"/>
        <v>1</v>
      </c>
      <c r="AE67" s="14" t="e">
        <f t="shared" ca="1" si="6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23:52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2015:4:0:0:ZHUNAN_ZL</v>
      </c>
      <c r="AB68" s="14" t="e">
        <f t="shared" ca="1" si="3"/>
        <v>#N/A</v>
      </c>
      <c r="AC68" s="12" t="e">
        <f t="shared" ca="1" si="4"/>
        <v>#N/A</v>
      </c>
      <c r="AD68" s="12">
        <f t="shared" si="5"/>
        <v>1</v>
      </c>
      <c r="AE68" s="14" t="e">
        <f t="shared" ca="1" si="6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23:52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2015:5:0:0:ZHUNAN_ZL</v>
      </c>
      <c r="AB69" s="14" t="e">
        <f t="shared" ca="1" si="3"/>
        <v>#N/A</v>
      </c>
      <c r="AC69" s="12" t="e">
        <f t="shared" ca="1" si="4"/>
        <v>#N/A</v>
      </c>
      <c r="AD69" s="12">
        <f t="shared" si="5"/>
        <v>1</v>
      </c>
      <c r="AE69" s="14" t="e">
        <f t="shared" ca="1" si="6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23:52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2015:6:0:0:ZHUNAN_ZL</v>
      </c>
      <c r="AB70" s="14" t="e">
        <f t="shared" ca="1" si="3"/>
        <v>#N/A</v>
      </c>
      <c r="AC70" s="12" t="e">
        <f t="shared" ca="1" si="4"/>
        <v>#N/A</v>
      </c>
      <c r="AD70" s="12">
        <f t="shared" si="5"/>
        <v>1</v>
      </c>
      <c r="AE70" s="14" t="e">
        <f t="shared" ca="1" si="6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23:52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2015:7:0:0:ZHUNAN_ZL</v>
      </c>
      <c r="AB71" s="14" t="e">
        <f t="shared" ca="1" si="3"/>
        <v>#N/A</v>
      </c>
      <c r="AC71" s="12" t="e">
        <f t="shared" ca="1" si="4"/>
        <v>#N/A</v>
      </c>
      <c r="AD71" s="12">
        <f t="shared" si="5"/>
        <v>1</v>
      </c>
      <c r="AE71" s="14" t="e">
        <f t="shared" ca="1" si="6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23:52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2015:8:0:0:ZHUNAN_ZL</v>
      </c>
      <c r="AB72" s="14" t="e">
        <f t="shared" ca="1" si="3"/>
        <v>#N/A</v>
      </c>
      <c r="AC72" s="12" t="e">
        <f t="shared" ca="1" si="4"/>
        <v>#N/A</v>
      </c>
      <c r="AD72" s="12">
        <f t="shared" si="5"/>
        <v>1</v>
      </c>
      <c r="AE72" s="14" t="e">
        <f t="shared" ca="1" si="6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23:52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2015:9:0:0:ZHUNAN_ZL</v>
      </c>
      <c r="AB73" s="14" t="e">
        <f t="shared" ca="1" si="3"/>
        <v>#N/A</v>
      </c>
      <c r="AC73" s="12" t="e">
        <f t="shared" ca="1" si="4"/>
        <v>#N/A</v>
      </c>
      <c r="AD73" s="12">
        <f t="shared" si="5"/>
        <v>1</v>
      </c>
      <c r="AE73" s="14" t="e">
        <f t="shared" ca="1" si="6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23:52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2015:10:0:0:ZHUNAN_ZL</v>
      </c>
      <c r="AB74" s="14" t="e">
        <f t="shared" ca="1" si="3"/>
        <v>#N/A</v>
      </c>
      <c r="AC74" s="12" t="e">
        <f t="shared" ca="1" si="4"/>
        <v>#N/A</v>
      </c>
      <c r="AD74" s="12">
        <f t="shared" si="5"/>
        <v>1</v>
      </c>
      <c r="AE74" s="14" t="e">
        <f t="shared" ca="1" si="6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23:52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2015:11:0:0:ZHUNAN_ZL</v>
      </c>
      <c r="AB75" s="14" t="e">
        <f t="shared" ca="1" si="3"/>
        <v>#N/A</v>
      </c>
      <c r="AC75" s="12" t="e">
        <f t="shared" ca="1" si="4"/>
        <v>#N/A</v>
      </c>
      <c r="AD75" s="12">
        <f t="shared" si="5"/>
        <v>1</v>
      </c>
      <c r="AE75" s="14" t="e">
        <f t="shared" ca="1" si="6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23:52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2015:12:0:0:ZHUNAN_ZL</v>
      </c>
      <c r="AB76" s="14" t="e">
        <f t="shared" ca="1" si="3"/>
        <v>#N/A</v>
      </c>
      <c r="AC76" s="12" t="e">
        <f t="shared" ca="1" si="4"/>
        <v>#N/A</v>
      </c>
      <c r="AD76" s="12">
        <f t="shared" si="5"/>
        <v>1</v>
      </c>
      <c r="AE76" s="14" t="e">
        <f t="shared" ca="1" si="6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23:52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2016:1:0:0:ZHUNAN_ZL</v>
      </c>
      <c r="AB77" s="14" t="e">
        <f t="shared" ca="1" si="3"/>
        <v>#N/A</v>
      </c>
      <c r="AC77" s="12" t="e">
        <f t="shared" ca="1" si="4"/>
        <v>#N/A</v>
      </c>
      <c r="AD77" s="12">
        <f t="shared" si="5"/>
        <v>1</v>
      </c>
      <c r="AE77" s="14" t="e">
        <f t="shared" ca="1" si="6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42442</v>
      </c>
      <c r="AN77" s="14">
        <f>INT((DAY($AM77)-1)/7)+1</f>
        <v>2</v>
      </c>
      <c r="AO77" s="15" t="str">
        <f t="shared" ref="AO77:AO88" si="11">CONCATENATE(YEAR(AM77),":",MONTH(AM77),":",AN77,":",WEEKLY_REPORT_DAY,":", $X$90)</f>
        <v>2016:3:2:7:ZHUNAN_ZL</v>
      </c>
      <c r="AP77" s="14">
        <f t="shared" ref="AP77:AP88" ca="1" si="12">MATCH(AO77,INDIRECT(CONCATENATE($X$93,"$A:$A")),0)</f>
        <v>883</v>
      </c>
      <c r="AQ77" s="12">
        <f t="shared" ref="AQ77:AU88" ca="1" si="13">INDEX(INDIRECT(CONCATENATE($X$93,"$A:$AG")),$AP77,MATCH(AQ$52,INDIRECT(CONCATENATE($X$93,"$A1:$AG1")),0))</f>
        <v>0</v>
      </c>
      <c r="AR77" s="12">
        <f t="shared" ca="1" si="13"/>
        <v>6</v>
      </c>
      <c r="AS77" s="12">
        <f t="shared" ca="1" si="13"/>
        <v>1</v>
      </c>
      <c r="AT77" s="12">
        <f t="shared" ca="1" si="13"/>
        <v>0</v>
      </c>
      <c r="AU77" s="12">
        <f t="shared" ca="1" si="13"/>
        <v>0</v>
      </c>
      <c r="AV77" s="12">
        <f t="shared" ref="AV77:AV88" si="14">ROUND(1*$X$97/$X$99,0)</f>
        <v>0</v>
      </c>
      <c r="AW77" s="12">
        <f t="shared" ref="AW77:AW88" si="15">6*$X$97</f>
        <v>6</v>
      </c>
      <c r="AX77" s="12">
        <f t="shared" ref="AX77:AX88" si="16">3*$X$97</f>
        <v>3</v>
      </c>
      <c r="AY77" s="12">
        <f t="shared" ref="AY77:AY88" si="17">5*$X$97</f>
        <v>5</v>
      </c>
      <c r="AZ77" s="12">
        <f t="shared" ref="AZ77:AZ88" si="18">1*$X$97</f>
        <v>1</v>
      </c>
    </row>
    <row r="78" spans="23:52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2016:2:0:0:ZHUNAN_ZL</v>
      </c>
      <c r="AB78" s="14" t="e">
        <f t="shared" ca="1" si="3"/>
        <v>#N/A</v>
      </c>
      <c r="AC78" s="12" t="e">
        <f t="shared" ca="1" si="4"/>
        <v>#N/A</v>
      </c>
      <c r="AD78" s="12">
        <f t="shared" si="5"/>
        <v>1</v>
      </c>
      <c r="AE78" s="14" t="e">
        <f t="shared" ca="1" si="6"/>
        <v>#N/A</v>
      </c>
      <c r="AF78" s="8" t="str">
        <f t="shared" ca="1" si="9"/>
        <v/>
      </c>
      <c r="AG78" s="8" t="str">
        <f t="shared" ca="1" si="9"/>
        <v/>
      </c>
      <c r="AH78" s="8" t="str">
        <f t="shared" ca="1" si="9"/>
        <v/>
      </c>
      <c r="AI78" s="8" t="str">
        <f t="shared" ca="1" si="9"/>
        <v/>
      </c>
      <c r="AJ78" s="8" t="str">
        <f t="shared" ca="1" si="9"/>
        <v/>
      </c>
      <c r="AK78" s="8" t="str">
        <f t="shared" ca="1" si="9"/>
        <v/>
      </c>
      <c r="AL78" s="6">
        <v>-10</v>
      </c>
      <c r="AM78" s="15">
        <f t="shared" si="10"/>
        <v>42449</v>
      </c>
      <c r="AN78" s="14">
        <f t="shared" ref="AN78:AN88" si="19">INT((DAY($AM78)-1)/7)+1</f>
        <v>3</v>
      </c>
      <c r="AO78" s="15" t="str">
        <f t="shared" si="11"/>
        <v>2016:3:3:7:ZHUNAN_ZL</v>
      </c>
      <c r="AP78" s="14">
        <f t="shared" ca="1" si="12"/>
        <v>980</v>
      </c>
      <c r="AQ78" s="12">
        <f t="shared" ca="1" si="13"/>
        <v>0</v>
      </c>
      <c r="AR78" s="12">
        <f t="shared" ca="1" si="13"/>
        <v>5</v>
      </c>
      <c r="AS78" s="12">
        <f t="shared" ca="1" si="13"/>
        <v>2</v>
      </c>
      <c r="AT78" s="12">
        <f t="shared" ca="1" si="13"/>
        <v>8</v>
      </c>
      <c r="AU78" s="12">
        <f t="shared" ca="1" si="13"/>
        <v>0</v>
      </c>
      <c r="AV78" s="12">
        <f t="shared" si="14"/>
        <v>0</v>
      </c>
      <c r="AW78" s="12">
        <f t="shared" si="15"/>
        <v>6</v>
      </c>
      <c r="AX78" s="12">
        <f t="shared" si="16"/>
        <v>3</v>
      </c>
      <c r="AY78" s="12">
        <f t="shared" si="17"/>
        <v>5</v>
      </c>
      <c r="AZ78" s="12">
        <f t="shared" si="18"/>
        <v>1</v>
      </c>
    </row>
    <row r="79" spans="23:52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2016:3:0:0:ZHUNAN_ZL</v>
      </c>
      <c r="AB79" s="14">
        <f t="shared" ca="1" si="3"/>
        <v>315</v>
      </c>
      <c r="AC79" s="12">
        <f t="shared" ca="1" si="4"/>
        <v>0</v>
      </c>
      <c r="AD79" s="12">
        <f t="shared" si="5"/>
        <v>1</v>
      </c>
      <c r="AE79" s="14" t="e">
        <f t="shared" ca="1" si="6"/>
        <v>#N/A</v>
      </c>
      <c r="AF79" s="8" t="str">
        <f t="shared" ca="1" si="9"/>
        <v/>
      </c>
      <c r="AG79" s="8" t="str">
        <f t="shared" ca="1" si="9"/>
        <v/>
      </c>
      <c r="AH79" s="8" t="str">
        <f t="shared" ca="1" si="9"/>
        <v/>
      </c>
      <c r="AI79" s="8" t="str">
        <f t="shared" ca="1" si="9"/>
        <v/>
      </c>
      <c r="AJ79" s="8" t="str">
        <f t="shared" ca="1" si="9"/>
        <v/>
      </c>
      <c r="AK79" s="8" t="str">
        <f t="shared" ca="1" si="9"/>
        <v/>
      </c>
      <c r="AL79" s="6">
        <v>-9</v>
      </c>
      <c r="AM79" s="15">
        <f t="shared" si="10"/>
        <v>42456</v>
      </c>
      <c r="AN79" s="14">
        <f t="shared" si="19"/>
        <v>4</v>
      </c>
      <c r="AO79" s="15" t="str">
        <f t="shared" si="11"/>
        <v>2016:3:4:7:ZHUNAN_ZL</v>
      </c>
      <c r="AP79" s="14">
        <f t="shared" ca="1" si="12"/>
        <v>1077</v>
      </c>
      <c r="AQ79" s="12">
        <f t="shared" ca="1" si="13"/>
        <v>0</v>
      </c>
      <c r="AR79" s="12">
        <f t="shared" ca="1" si="13"/>
        <v>0</v>
      </c>
      <c r="AS79" s="12">
        <f t="shared" ca="1" si="13"/>
        <v>0</v>
      </c>
      <c r="AT79" s="12">
        <f t="shared" ca="1" si="13"/>
        <v>6</v>
      </c>
      <c r="AU79" s="12">
        <f t="shared" ca="1" si="13"/>
        <v>0</v>
      </c>
      <c r="AV79" s="12">
        <f t="shared" si="14"/>
        <v>0</v>
      </c>
      <c r="AW79" s="12">
        <f t="shared" si="15"/>
        <v>6</v>
      </c>
      <c r="AX79" s="12">
        <f t="shared" si="16"/>
        <v>3</v>
      </c>
      <c r="AY79" s="12">
        <f t="shared" si="17"/>
        <v>5</v>
      </c>
      <c r="AZ79" s="12">
        <f t="shared" si="18"/>
        <v>1</v>
      </c>
    </row>
    <row r="80" spans="23:52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2016:4:0:0:ZHUNAN_ZL</v>
      </c>
      <c r="AB80" s="14">
        <f t="shared" ca="1" si="3"/>
        <v>412</v>
      </c>
      <c r="AC80" s="12">
        <f t="shared" ca="1" si="4"/>
        <v>0</v>
      </c>
      <c r="AD80" s="12">
        <f t="shared" si="5"/>
        <v>1</v>
      </c>
      <c r="AE80" s="14" t="e">
        <f t="shared" ca="1" si="6"/>
        <v>#N/A</v>
      </c>
      <c r="AF80" s="8" t="str">
        <f t="shared" ca="1" si="9"/>
        <v/>
      </c>
      <c r="AG80" s="8" t="str">
        <f t="shared" ca="1" si="9"/>
        <v/>
      </c>
      <c r="AH80" s="8" t="str">
        <f t="shared" ca="1" si="9"/>
        <v/>
      </c>
      <c r="AI80" s="8" t="str">
        <f t="shared" ca="1" si="9"/>
        <v/>
      </c>
      <c r="AJ80" s="8" t="str">
        <f t="shared" ca="1" si="9"/>
        <v/>
      </c>
      <c r="AK80" s="8" t="str">
        <f t="shared" ca="1" si="9"/>
        <v/>
      </c>
      <c r="AL80" s="6">
        <v>-8</v>
      </c>
      <c r="AM80" s="15">
        <f t="shared" si="10"/>
        <v>42463</v>
      </c>
      <c r="AN80" s="14">
        <f t="shared" si="19"/>
        <v>1</v>
      </c>
      <c r="AO80" s="15" t="str">
        <f t="shared" si="11"/>
        <v>2016:4:1:7:ZHUNAN_ZL</v>
      </c>
      <c r="AP80" s="14">
        <f t="shared" ca="1" si="12"/>
        <v>1174</v>
      </c>
      <c r="AQ80" s="12">
        <f t="shared" ca="1" si="13"/>
        <v>0</v>
      </c>
      <c r="AR80" s="12">
        <f t="shared" ca="1" si="13"/>
        <v>8</v>
      </c>
      <c r="AS80" s="12">
        <f t="shared" ca="1" si="13"/>
        <v>1</v>
      </c>
      <c r="AT80" s="12">
        <f t="shared" ca="1" si="13"/>
        <v>4</v>
      </c>
      <c r="AU80" s="12">
        <f t="shared" ca="1" si="13"/>
        <v>0</v>
      </c>
      <c r="AV80" s="12">
        <f t="shared" si="14"/>
        <v>0</v>
      </c>
      <c r="AW80" s="12">
        <f t="shared" si="15"/>
        <v>6</v>
      </c>
      <c r="AX80" s="12">
        <f t="shared" si="16"/>
        <v>3</v>
      </c>
      <c r="AY80" s="12">
        <f t="shared" si="17"/>
        <v>5</v>
      </c>
      <c r="AZ80" s="12">
        <f t="shared" si="18"/>
        <v>1</v>
      </c>
    </row>
    <row r="81" spans="23:52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2016:5:0:0:ZHUNAN_ZL</v>
      </c>
      <c r="AB81" s="14">
        <f t="shared" ca="1" si="3"/>
        <v>509</v>
      </c>
      <c r="AC81" s="12">
        <f t="shared" ca="1" si="4"/>
        <v>3</v>
      </c>
      <c r="AD81" s="12">
        <f t="shared" si="5"/>
        <v>1</v>
      </c>
      <c r="AE81" s="14">
        <f t="shared" ca="1" si="6"/>
        <v>126</v>
      </c>
      <c r="AF81" s="8">
        <f t="shared" ca="1" si="9"/>
        <v>0</v>
      </c>
      <c r="AG81" s="8">
        <f t="shared" ca="1" si="9"/>
        <v>0</v>
      </c>
      <c r="AH81" s="8">
        <f t="shared" ca="1" si="9"/>
        <v>0</v>
      </c>
      <c r="AI81" s="8">
        <f t="shared" ca="1" si="9"/>
        <v>3</v>
      </c>
      <c r="AJ81" s="8">
        <f t="shared" ca="1" si="9"/>
        <v>0</v>
      </c>
      <c r="AK81" s="8">
        <f t="shared" ca="1" si="9"/>
        <v>0</v>
      </c>
      <c r="AL81" s="6">
        <v>-7</v>
      </c>
      <c r="AM81" s="15">
        <f t="shared" si="10"/>
        <v>42470</v>
      </c>
      <c r="AN81" s="14">
        <f t="shared" si="19"/>
        <v>2</v>
      </c>
      <c r="AO81" s="15" t="str">
        <f t="shared" si="11"/>
        <v>2016:4:2:7:ZHUNAN_ZL</v>
      </c>
      <c r="AP81" s="14">
        <f t="shared" ca="1" si="12"/>
        <v>1271</v>
      </c>
      <c r="AQ81" s="12">
        <f t="shared" ca="1" si="13"/>
        <v>0</v>
      </c>
      <c r="AR81" s="12">
        <f t="shared" ca="1" si="13"/>
        <v>9</v>
      </c>
      <c r="AS81" s="12">
        <f t="shared" ca="1" si="13"/>
        <v>3</v>
      </c>
      <c r="AT81" s="12">
        <f t="shared" ca="1" si="13"/>
        <v>5</v>
      </c>
      <c r="AU81" s="12">
        <f t="shared" ca="1" si="13"/>
        <v>0</v>
      </c>
      <c r="AV81" s="12">
        <f t="shared" si="14"/>
        <v>0</v>
      </c>
      <c r="AW81" s="12">
        <f t="shared" si="15"/>
        <v>6</v>
      </c>
      <c r="AX81" s="12">
        <f t="shared" si="16"/>
        <v>3</v>
      </c>
      <c r="AY81" s="12">
        <f t="shared" si="17"/>
        <v>5</v>
      </c>
      <c r="AZ81" s="12">
        <f t="shared" si="18"/>
        <v>1</v>
      </c>
    </row>
    <row r="82" spans="23:52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2016:6:0:0:ZHUNAN_ZL</v>
      </c>
      <c r="AB82" s="14" t="e">
        <f t="shared" ca="1" si="3"/>
        <v>#N/A</v>
      </c>
      <c r="AC82" s="12" t="e">
        <f t="shared" ca="1" si="4"/>
        <v>#N/A</v>
      </c>
      <c r="AD82" s="12">
        <f t="shared" si="5"/>
        <v>1</v>
      </c>
      <c r="AE82" s="14" t="e">
        <f t="shared" ca="1" si="6"/>
        <v>#N/A</v>
      </c>
      <c r="AF82" s="8" t="str">
        <f t="shared" ca="1" si="9"/>
        <v/>
      </c>
      <c r="AG82" s="8" t="str">
        <f t="shared" ca="1" si="9"/>
        <v/>
      </c>
      <c r="AH82" s="8" t="str">
        <f t="shared" ca="1" si="9"/>
        <v/>
      </c>
      <c r="AI82" s="8" t="str">
        <f t="shared" ca="1" si="9"/>
        <v/>
      </c>
      <c r="AJ82" s="8" t="str">
        <f t="shared" ca="1" si="9"/>
        <v/>
      </c>
      <c r="AK82" s="8" t="str">
        <f t="shared" ca="1" si="9"/>
        <v/>
      </c>
      <c r="AL82" s="6">
        <v>-6</v>
      </c>
      <c r="AM82" s="15">
        <f t="shared" si="10"/>
        <v>42477</v>
      </c>
      <c r="AN82" s="14">
        <f t="shared" si="19"/>
        <v>3</v>
      </c>
      <c r="AO82" s="15" t="str">
        <f t="shared" si="11"/>
        <v>2016:4:3:7:ZHUNAN_ZL</v>
      </c>
      <c r="AP82" s="14">
        <f t="shared" ca="1" si="12"/>
        <v>1368</v>
      </c>
      <c r="AQ82" s="12">
        <f t="shared" ca="1" si="13"/>
        <v>0</v>
      </c>
      <c r="AR82" s="12">
        <f t="shared" ca="1" si="13"/>
        <v>10</v>
      </c>
      <c r="AS82" s="12">
        <f t="shared" ca="1" si="13"/>
        <v>4</v>
      </c>
      <c r="AT82" s="12">
        <f t="shared" ca="1" si="13"/>
        <v>3</v>
      </c>
      <c r="AU82" s="12">
        <f t="shared" ca="1" si="13"/>
        <v>3</v>
      </c>
      <c r="AV82" s="12">
        <f t="shared" si="14"/>
        <v>0</v>
      </c>
      <c r="AW82" s="12">
        <f t="shared" si="15"/>
        <v>6</v>
      </c>
      <c r="AX82" s="12">
        <f t="shared" si="16"/>
        <v>3</v>
      </c>
      <c r="AY82" s="12">
        <f t="shared" si="17"/>
        <v>5</v>
      </c>
      <c r="AZ82" s="12">
        <f t="shared" si="18"/>
        <v>1</v>
      </c>
    </row>
    <row r="83" spans="23:52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2016:7:0:0:ZHUNAN_ZL</v>
      </c>
      <c r="AB83" s="14" t="e">
        <f t="shared" ca="1" si="3"/>
        <v>#N/A</v>
      </c>
      <c r="AC83" s="12" t="e">
        <f t="shared" ca="1" si="4"/>
        <v>#N/A</v>
      </c>
      <c r="AD83" s="12">
        <f t="shared" si="5"/>
        <v>1</v>
      </c>
      <c r="AE83" s="14" t="e">
        <f t="shared" ca="1" si="6"/>
        <v>#N/A</v>
      </c>
      <c r="AF83" s="8" t="str">
        <f t="shared" ref="AF83:AK88" ca="1" si="20">IFERROR(INDEX(INDIRECT(CONCATENATE($X$95,"$A:$Z")),$AE83,MATCH(AF$52,INDIRECT(CONCATENATE($X$95,"$A1:$Z1")),0)),"")</f>
        <v/>
      </c>
      <c r="AG83" s="8" t="str">
        <f t="shared" ca="1" si="20"/>
        <v/>
      </c>
      <c r="AH83" s="8" t="str">
        <f t="shared" ca="1" si="20"/>
        <v/>
      </c>
      <c r="AI83" s="8" t="str">
        <f t="shared" ca="1" si="20"/>
        <v/>
      </c>
      <c r="AJ83" s="8" t="str">
        <f t="shared" ca="1" si="20"/>
        <v/>
      </c>
      <c r="AK83" s="8" t="str">
        <f t="shared" ca="1" si="20"/>
        <v/>
      </c>
      <c r="AL83" s="6">
        <v>-5</v>
      </c>
      <c r="AM83" s="15">
        <f t="shared" si="10"/>
        <v>42484</v>
      </c>
      <c r="AN83" s="14">
        <f t="shared" si="19"/>
        <v>4</v>
      </c>
      <c r="AO83" s="15" t="str">
        <f t="shared" si="11"/>
        <v>2016:4:4:7:ZHUNAN_ZL</v>
      </c>
      <c r="AP83" s="14">
        <f t="shared" ca="1" si="12"/>
        <v>1464</v>
      </c>
      <c r="AQ83" s="12">
        <f t="shared" ca="1" si="13"/>
        <v>0</v>
      </c>
      <c r="AR83" s="12">
        <f t="shared" ca="1" si="13"/>
        <v>8</v>
      </c>
      <c r="AS83" s="12">
        <f t="shared" ca="1" si="13"/>
        <v>2</v>
      </c>
      <c r="AT83" s="12">
        <f t="shared" ca="1" si="13"/>
        <v>5</v>
      </c>
      <c r="AU83" s="12">
        <f t="shared" ca="1" si="13"/>
        <v>0</v>
      </c>
      <c r="AV83" s="12">
        <f t="shared" si="14"/>
        <v>0</v>
      </c>
      <c r="AW83" s="12">
        <f t="shared" si="15"/>
        <v>6</v>
      </c>
      <c r="AX83" s="12">
        <f t="shared" si="16"/>
        <v>3</v>
      </c>
      <c r="AY83" s="12">
        <f t="shared" si="17"/>
        <v>5</v>
      </c>
      <c r="AZ83" s="12">
        <f t="shared" si="18"/>
        <v>1</v>
      </c>
    </row>
    <row r="84" spans="23:52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2016:8:0:0:ZHUNAN_ZL</v>
      </c>
      <c r="AB84" s="14" t="e">
        <f t="shared" ca="1" si="3"/>
        <v>#N/A</v>
      </c>
      <c r="AC84" s="12" t="e">
        <f t="shared" ca="1" si="4"/>
        <v>#N/A</v>
      </c>
      <c r="AD84" s="12">
        <f t="shared" si="5"/>
        <v>1</v>
      </c>
      <c r="AE84" s="14" t="e">
        <f t="shared" ca="1" si="6"/>
        <v>#N/A</v>
      </c>
      <c r="AF84" s="8" t="str">
        <f t="shared" ca="1" si="20"/>
        <v/>
      </c>
      <c r="AG84" s="8" t="str">
        <f t="shared" ca="1" si="20"/>
        <v/>
      </c>
      <c r="AH84" s="8" t="str">
        <f t="shared" ca="1" si="20"/>
        <v/>
      </c>
      <c r="AI84" s="8" t="str">
        <f t="shared" ca="1" si="20"/>
        <v/>
      </c>
      <c r="AJ84" s="8" t="str">
        <f t="shared" ca="1" si="20"/>
        <v/>
      </c>
      <c r="AK84" s="8" t="str">
        <f t="shared" ca="1" si="20"/>
        <v/>
      </c>
      <c r="AL84" s="6">
        <v>-4</v>
      </c>
      <c r="AM84" s="15">
        <f t="shared" si="10"/>
        <v>42491</v>
      </c>
      <c r="AN84" s="14">
        <f t="shared" si="19"/>
        <v>1</v>
      </c>
      <c r="AO84" s="15" t="str">
        <f t="shared" si="11"/>
        <v>2016:5:1:7:ZHUNAN_ZL</v>
      </c>
      <c r="AP84" s="14">
        <f t="shared" ca="1" si="12"/>
        <v>1560</v>
      </c>
      <c r="AQ84" s="12">
        <f t="shared" ca="1" si="13"/>
        <v>0</v>
      </c>
      <c r="AR84" s="12">
        <f t="shared" ca="1" si="13"/>
        <v>9</v>
      </c>
      <c r="AS84" s="12">
        <f t="shared" ca="1" si="13"/>
        <v>4</v>
      </c>
      <c r="AT84" s="12">
        <f t="shared" ca="1" si="13"/>
        <v>7</v>
      </c>
      <c r="AU84" s="12">
        <f t="shared" ca="1" si="13"/>
        <v>1</v>
      </c>
      <c r="AV84" s="12">
        <f t="shared" si="14"/>
        <v>0</v>
      </c>
      <c r="AW84" s="12">
        <f t="shared" si="15"/>
        <v>6</v>
      </c>
      <c r="AX84" s="12">
        <f t="shared" si="16"/>
        <v>3</v>
      </c>
      <c r="AY84" s="12">
        <f t="shared" si="17"/>
        <v>5</v>
      </c>
      <c r="AZ84" s="12">
        <f t="shared" si="18"/>
        <v>1</v>
      </c>
    </row>
    <row r="85" spans="23:52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2016:9:0:0:ZHUNAN_ZL</v>
      </c>
      <c r="AB85" s="14" t="e">
        <f t="shared" ca="1" si="3"/>
        <v>#N/A</v>
      </c>
      <c r="AC85" s="12" t="e">
        <f t="shared" ca="1" si="4"/>
        <v>#N/A</v>
      </c>
      <c r="AD85" s="12">
        <f t="shared" si="5"/>
        <v>1</v>
      </c>
      <c r="AE85" s="14" t="e">
        <f t="shared" ca="1" si="6"/>
        <v>#N/A</v>
      </c>
      <c r="AF85" s="8" t="str">
        <f t="shared" ca="1" si="20"/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10"/>
        <v>42498</v>
      </c>
      <c r="AN85" s="14">
        <f t="shared" si="19"/>
        <v>2</v>
      </c>
      <c r="AO85" s="15" t="str">
        <f t="shared" si="11"/>
        <v>2016:5:2:7:ZHUNAN_ZL</v>
      </c>
      <c r="AP85" s="14">
        <f t="shared" ca="1" si="12"/>
        <v>1656</v>
      </c>
      <c r="AQ85" s="12">
        <f t="shared" ca="1" si="13"/>
        <v>0</v>
      </c>
      <c r="AR85" s="12">
        <f t="shared" ca="1" si="13"/>
        <v>9</v>
      </c>
      <c r="AS85" s="12">
        <f t="shared" ca="1" si="13"/>
        <v>4</v>
      </c>
      <c r="AT85" s="12">
        <f t="shared" ca="1" si="13"/>
        <v>9</v>
      </c>
      <c r="AU85" s="12">
        <f t="shared" ca="1" si="13"/>
        <v>0</v>
      </c>
      <c r="AV85" s="12">
        <f t="shared" si="14"/>
        <v>0</v>
      </c>
      <c r="AW85" s="12">
        <f t="shared" si="15"/>
        <v>6</v>
      </c>
      <c r="AX85" s="12">
        <f t="shared" si="16"/>
        <v>3</v>
      </c>
      <c r="AY85" s="12">
        <f t="shared" si="17"/>
        <v>5</v>
      </c>
      <c r="AZ85" s="12">
        <f t="shared" si="18"/>
        <v>1</v>
      </c>
    </row>
    <row r="86" spans="23:52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2016:10:0:0:ZHUNAN_ZL</v>
      </c>
      <c r="AB86" s="14" t="e">
        <f t="shared" ca="1" si="3"/>
        <v>#N/A</v>
      </c>
      <c r="AC86" s="12" t="e">
        <f t="shared" ca="1" si="4"/>
        <v>#N/A</v>
      </c>
      <c r="AD86" s="12">
        <f t="shared" si="5"/>
        <v>1</v>
      </c>
      <c r="AE86" s="14" t="e">
        <f t="shared" ca="1" si="6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10"/>
        <v>42505</v>
      </c>
      <c r="AN86" s="14">
        <f t="shared" si="19"/>
        <v>3</v>
      </c>
      <c r="AO86" s="15" t="str">
        <f t="shared" si="11"/>
        <v>2016:5:3:7:ZHUNAN_ZL</v>
      </c>
      <c r="AP86" s="14">
        <f t="shared" ca="1" si="12"/>
        <v>1753</v>
      </c>
      <c r="AQ86" s="12">
        <f t="shared" ca="1" si="13"/>
        <v>0</v>
      </c>
      <c r="AR86" s="12">
        <f t="shared" ca="1" si="13"/>
        <v>8</v>
      </c>
      <c r="AS86" s="12">
        <f t="shared" ca="1" si="13"/>
        <v>4</v>
      </c>
      <c r="AT86" s="12">
        <f t="shared" ca="1" si="13"/>
        <v>5</v>
      </c>
      <c r="AU86" s="12">
        <f t="shared" ca="1" si="13"/>
        <v>0</v>
      </c>
      <c r="AV86" s="12">
        <f t="shared" si="14"/>
        <v>0</v>
      </c>
      <c r="AW86" s="12">
        <f t="shared" si="15"/>
        <v>6</v>
      </c>
      <c r="AX86" s="12">
        <f t="shared" si="16"/>
        <v>3</v>
      </c>
      <c r="AY86" s="12">
        <f t="shared" si="17"/>
        <v>5</v>
      </c>
      <c r="AZ86" s="12">
        <f t="shared" si="18"/>
        <v>1</v>
      </c>
    </row>
    <row r="87" spans="23:52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2016:11:0:0:ZHUNAN_ZL</v>
      </c>
      <c r="AB87" s="14" t="e">
        <f t="shared" ca="1" si="3"/>
        <v>#N/A</v>
      </c>
      <c r="AC87" s="12" t="e">
        <f t="shared" ca="1" si="4"/>
        <v>#N/A</v>
      </c>
      <c r="AD87" s="12">
        <f t="shared" si="5"/>
        <v>1</v>
      </c>
      <c r="AE87" s="14" t="e">
        <f t="shared" ca="1" si="6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10"/>
        <v>42512</v>
      </c>
      <c r="AN87" s="14">
        <f t="shared" si="19"/>
        <v>4</v>
      </c>
      <c r="AO87" s="15" t="str">
        <f t="shared" si="11"/>
        <v>2016:5:4:7:ZHUNAN_ZL</v>
      </c>
      <c r="AP87" s="14">
        <f t="shared" ca="1" si="12"/>
        <v>1851</v>
      </c>
      <c r="AQ87" s="12">
        <f t="shared" ca="1" si="13"/>
        <v>3</v>
      </c>
      <c r="AR87" s="12">
        <f t="shared" ca="1" si="13"/>
        <v>5</v>
      </c>
      <c r="AS87" s="12">
        <f t="shared" ca="1" si="13"/>
        <v>1</v>
      </c>
      <c r="AT87" s="12">
        <f t="shared" ca="1" si="13"/>
        <v>4</v>
      </c>
      <c r="AU87" s="12">
        <f t="shared" ca="1" si="13"/>
        <v>0</v>
      </c>
      <c r="AV87" s="12">
        <f t="shared" si="14"/>
        <v>0</v>
      </c>
      <c r="AW87" s="12">
        <f t="shared" si="15"/>
        <v>6</v>
      </c>
      <c r="AX87" s="12">
        <f t="shared" si="16"/>
        <v>3</v>
      </c>
      <c r="AY87" s="12">
        <f t="shared" si="17"/>
        <v>5</v>
      </c>
      <c r="AZ87" s="12">
        <f t="shared" si="18"/>
        <v>1</v>
      </c>
    </row>
    <row r="88" spans="23:52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2016:12:0:0:ZHUNAN_ZL</v>
      </c>
      <c r="AB88" s="14" t="e">
        <f t="shared" ca="1" si="3"/>
        <v>#N/A</v>
      </c>
      <c r="AC88" s="12" t="e">
        <f t="shared" ca="1" si="4"/>
        <v>#N/A</v>
      </c>
      <c r="AD88" s="12">
        <f t="shared" si="5"/>
        <v>1</v>
      </c>
      <c r="AE88" s="14" t="e">
        <f t="shared" ca="1" si="6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10"/>
        <v>42519</v>
      </c>
      <c r="AN88" s="14">
        <f t="shared" si="19"/>
        <v>5</v>
      </c>
      <c r="AO88" s="15" t="str">
        <f t="shared" si="11"/>
        <v>2016:5:5:7:ZHUNAN_ZL</v>
      </c>
      <c r="AP88" s="14">
        <f t="shared" ca="1" si="12"/>
        <v>1947</v>
      </c>
      <c r="AQ88" s="12">
        <f t="shared" ca="1" si="13"/>
        <v>0</v>
      </c>
      <c r="AR88" s="12">
        <f t="shared" ca="1" si="13"/>
        <v>5</v>
      </c>
      <c r="AS88" s="12">
        <f t="shared" ca="1" si="13"/>
        <v>0</v>
      </c>
      <c r="AT88" s="12">
        <f t="shared" ca="1" si="13"/>
        <v>3</v>
      </c>
      <c r="AU88" s="12">
        <f t="shared" ca="1" si="13"/>
        <v>0</v>
      </c>
      <c r="AV88" s="12">
        <f t="shared" si="14"/>
        <v>0</v>
      </c>
      <c r="AW88" s="12">
        <f t="shared" si="15"/>
        <v>6</v>
      </c>
      <c r="AX88" s="12">
        <f t="shared" si="16"/>
        <v>3</v>
      </c>
      <c r="AY88" s="12">
        <f t="shared" si="17"/>
        <v>5</v>
      </c>
      <c r="AZ88" s="12">
        <f t="shared" si="18"/>
        <v>1</v>
      </c>
    </row>
    <row r="89" spans="23:52">
      <c r="AC89" s="6">
        <f ca="1">SUMIFS(AC53:AC88, $X53:$X88,YEAR,AC53:AC88,"&lt;&gt;#N/A")</f>
        <v>3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3</v>
      </c>
      <c r="AJ89" s="6">
        <f t="shared" ca="1" si="21"/>
        <v>0</v>
      </c>
      <c r="AK89" s="6">
        <f t="shared" ca="1" si="21"/>
        <v>0</v>
      </c>
      <c r="AN89" s="14"/>
    </row>
    <row r="90" spans="23:52">
      <c r="W90" s="6" t="s">
        <v>778</v>
      </c>
      <c r="X90" s="37" t="str">
        <f>REPORT_SHEET!$A$1</f>
        <v>ZHUNAN_ZL</v>
      </c>
      <c r="AD90" s="14"/>
      <c r="AE90" s="14"/>
      <c r="AH90" s="14"/>
      <c r="AI90" s="14"/>
      <c r="AJ90" s="14"/>
      <c r="AK90" s="14"/>
      <c r="AM90" s="15"/>
      <c r="AN90" s="14"/>
    </row>
    <row r="91" spans="23:52">
      <c r="W91" s="21" t="s">
        <v>1400</v>
      </c>
      <c r="X91" s="37" t="str">
        <f>IF(REPORT_SHEET!$A$2=TRUE, "Key Indicator Graph", VLOOKUP($X$90,COMP_LIST!$A:$C,3,FALSE))</f>
        <v>Key Indicator Graph</v>
      </c>
      <c r="AD91" s="14"/>
      <c r="AE91" s="14"/>
      <c r="AH91" s="14"/>
      <c r="AI91" s="14"/>
      <c r="AJ91" s="14"/>
      <c r="AK91" s="14"/>
      <c r="AM91" s="15"/>
      <c r="AN91" s="14"/>
    </row>
    <row r="92" spans="23:52">
      <c r="W92" s="6" t="s">
        <v>1401</v>
      </c>
      <c r="X92" s="37" t="str">
        <f>IF(REPORT_SHEET!$A$2=TRUE, "Taiwan Taipei Mission", VLOOKUP($X$90,COMP_LIST!$A:$E,5,FALSE))</f>
        <v>Taiwan Taipei Mission</v>
      </c>
      <c r="AD92" s="14"/>
      <c r="AN92" s="14"/>
    </row>
    <row r="93" spans="23:52">
      <c r="W93" s="6" t="s">
        <v>504</v>
      </c>
      <c r="X93" s="52" t="s">
        <v>2254</v>
      </c>
      <c r="Y93" s="14"/>
      <c r="Z93" s="14"/>
      <c r="AD93" s="14"/>
      <c r="AN93" s="14"/>
    </row>
    <row r="94" spans="23:52">
      <c r="W94" s="6" t="s">
        <v>505</v>
      </c>
      <c r="X94" s="52" t="s">
        <v>2255</v>
      </c>
      <c r="Y94" s="14"/>
      <c r="Z94" s="14"/>
      <c r="AD94" s="14"/>
      <c r="AN94" s="14"/>
    </row>
    <row r="95" spans="23:52">
      <c r="W95" s="21" t="s">
        <v>506</v>
      </c>
      <c r="X95" s="52" t="s">
        <v>2256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2">
      <c r="W96" s="21" t="s">
        <v>777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500</v>
      </c>
      <c r="X97" s="37">
        <v>1</v>
      </c>
      <c r="AD97" s="14"/>
      <c r="AE97" s="14"/>
      <c r="AH97" s="14"/>
      <c r="AI97" s="14"/>
      <c r="AJ97" s="14"/>
      <c r="AK97" s="14"/>
      <c r="AN97" s="14"/>
    </row>
    <row r="98" spans="23:50">
      <c r="W98" s="6" t="s">
        <v>498</v>
      </c>
      <c r="X98" s="6">
        <f>ROUND($X$96/12,0)</f>
        <v>1</v>
      </c>
      <c r="AN98" s="14"/>
    </row>
    <row r="99" spans="23:50">
      <c r="W99" s="6" t="s">
        <v>497</v>
      </c>
      <c r="X99" s="6">
        <v>4</v>
      </c>
      <c r="AN99" s="14"/>
    </row>
    <row r="100" spans="23:50">
      <c r="W100" s="6" t="s">
        <v>370</v>
      </c>
      <c r="X100" s="6">
        <f ca="1">SUM($AI$89:$AK$89)</f>
        <v>3</v>
      </c>
      <c r="AN100" s="14"/>
    </row>
    <row r="101" spans="23:50">
      <c r="W101" s="6" t="s">
        <v>371</v>
      </c>
      <c r="X101" s="6">
        <f ca="1">SUM($AF$89:$AH$89)</f>
        <v>0</v>
      </c>
      <c r="AM101" s="15"/>
      <c r="AN101" s="14"/>
      <c r="AS101" s="16"/>
      <c r="AU101" s="16"/>
      <c r="AX101" s="16"/>
    </row>
    <row r="102" spans="23:50" ht="60">
      <c r="W102" s="6" t="s">
        <v>373</v>
      </c>
      <c r="X102" s="16" t="str">
        <f ca="1">CONCATENATE("Member Referral Goal 成員回條目標:     50%+ 
Member Referral Actual 成員回條實際:  ",$Z$102)</f>
        <v>Member Referral Goal 成員回條目標:     50%+ 
Member Referral Actual 成員回條實際:  00%</v>
      </c>
      <c r="Y102" s="17">
        <f ca="1">IFERROR(X101/SUM(X100:X101),"0")</f>
        <v>0</v>
      </c>
      <c r="Z102" s="6" t="str">
        <f ca="1">TEXT(Y102,"00%")</f>
        <v>00%</v>
      </c>
      <c r="AN102" s="14"/>
    </row>
    <row r="103" spans="23:50" ht="30">
      <c r="W103" s="6" t="s">
        <v>374</v>
      </c>
      <c r="X103" s="16" t="str">
        <f ca="1">CONCATENATE("Annual Goal 年度目標:  ",$X$96,"
Actual CDE YTD 年度實際:    ",$AC$89)</f>
        <v>Annual Goal 年度目標:  12
Actual CDE YTD 年度實際:    3</v>
      </c>
      <c r="AN103" s="14"/>
    </row>
    <row r="104" spans="23:50">
      <c r="W104" s="6" t="s">
        <v>776</v>
      </c>
      <c r="X104" s="6" t="str">
        <f ca="1">CONCATENATE($X$53,"  ",SUMIF($AC$53:$AC$64,"&lt;&gt;#N/A"))</f>
        <v>2014  0</v>
      </c>
      <c r="AN104" s="14"/>
    </row>
    <row r="105" spans="23:50">
      <c r="W105" s="6" t="s">
        <v>775</v>
      </c>
      <c r="X105" s="6" t="str">
        <f ca="1">CONCATENATE($X$65,"  ", SUMIF($AC$65:$AC$76,"&lt;&gt;#N/A"))</f>
        <v>2015  0</v>
      </c>
      <c r="AN105" s="14"/>
    </row>
    <row r="106" spans="23:50">
      <c r="W106" s="6" t="s">
        <v>774</v>
      </c>
      <c r="X106" s="6" t="str">
        <f ca="1">CONCATENATE($X$77,"  ",SUMIF($AC$77:$AC$88,"&lt;&gt;#N/A"))</f>
        <v>2016  3</v>
      </c>
    </row>
    <row r="107" spans="23:50" ht="23.25">
      <c r="W107" s="6" t="s">
        <v>773</v>
      </c>
      <c r="X107" s="24" t="str">
        <f>$X$91</f>
        <v>Key Indicator Graph</v>
      </c>
    </row>
    <row r="108" spans="23:50">
      <c r="X108" s="22" t="str">
        <f>$X$92</f>
        <v>Taiwan Taipei Mission</v>
      </c>
    </row>
    <row r="109" spans="23:50">
      <c r="X109" s="23">
        <f>DATE</f>
        <v>42519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REPORT_DATA_BY_COMP</vt:lpstr>
      <vt:lpstr>REPORT_DATA_BY_COMP_MONTH</vt:lpstr>
      <vt:lpstr>BAPTISM_SOURCE_BY_COMP_MONTH</vt:lpstr>
      <vt:lpstr>COMP_LIST</vt:lpstr>
      <vt:lpstr>CONTROLS</vt:lpstr>
      <vt:lpstr>REPORT_SHEET</vt:lpstr>
      <vt:lpstr>REPORT_GRAPH</vt:lpstr>
      <vt:lpstr>BAPTISM_SOURCE_BY_COMP_MONTH!baptism_source_month</vt:lpstr>
      <vt:lpstr>DATE</vt:lpstr>
      <vt:lpstr>DAY</vt:lpstr>
      <vt:lpstr>MONTH</vt:lpstr>
      <vt:lpstr>REPORT_GRAPH!Print_Area</vt:lpstr>
      <vt:lpstr>REPORT_SHEET!Print_Area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Toon Town</cp:lastModifiedBy>
  <cp:lastPrinted>2016-05-29T14:08:13Z</cp:lastPrinted>
  <dcterms:created xsi:type="dcterms:W3CDTF">2016-01-05T05:01:49Z</dcterms:created>
  <dcterms:modified xsi:type="dcterms:W3CDTF">2016-06-02T12:17:47Z</dcterms:modified>
</cp:coreProperties>
</file>